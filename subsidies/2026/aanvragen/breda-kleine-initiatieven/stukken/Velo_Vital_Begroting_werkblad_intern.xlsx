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iteitenbegrot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<sst xmlns="http://schemas.openxmlformats.org/spreadsheetml/2006/main" count="60" uniqueCount="57">
  <si>
    <t xml:space="preserve">Activiteitenbegroting</t>
  </si>
  <si>
    <t xml:space="preserve">Aanvrager</t>
  </si>
  <si>
    <t xml:space="preserve">Wielerevenementen Aalburg (handelsnaam Velo Vital)</t>
  </si>
  <si>
    <t xml:space="preserve">Activiteit</t>
  </si>
  <si>
    <t xml:space="preserve">Velo Vital Breda — startronde leenfiets en fietsgroep voor vrouwen</t>
  </si>
  <si>
    <t xml:space="preserve">Regeling</t>
  </si>
  <si>
    <t xml:space="preserve">Subsidieregeling Kleine initiatieven 2026, gemeente Breda</t>
  </si>
  <si>
    <t xml:space="preserve">Periode</t>
  </si>
  <si>
    <t xml:space="preserve">oktober 2026 t/m juni 2027</t>
  </si>
  <si>
    <t xml:space="preserve">Gevraagd subsidiebedrag</t>
  </si>
  <si>
    <t xml:space="preserve">EUR 5.000</t>
  </si>
  <si>
    <t xml:space="preserve">Uitgaven</t>
  </si>
  <si>
    <t xml:space="preserve">Kostenpost</t>
  </si>
  <si>
    <t xml:space="preserve">Bedrag</t>
  </si>
  <si>
    <t xml:space="preserve">Toelichting</t>
  </si>
  <si>
    <t xml:space="preserve">Lokale campagne en werving in Breda</t>
  </si>
  <si>
    <t xml:space="preserve">Flyers, posters, advertenties en wervingsbijeenkomsten bij Bredase partnerlocaties.</t>
  </si>
  <si>
    <t xml:space="preserve">Fietschecks, onderhoud en rijklaar maken van de leenfietsen</t>
  </si>
  <si>
    <t xml:space="preserve">Onderhoudsbeurten en reparaties door de Bredase fietsenmaker.</t>
  </si>
  <si>
    <t xml:space="preserve">Content en deelnemersverhalen voor werving</t>
  </si>
  <si>
    <t xml:space="preserve">Foto- en videomateriaal voor werving en verantwoording.</t>
  </si>
  <si>
    <t xml:space="preserve">Kennismakingsritten en groepsactivatie</t>
  </si>
  <si>
    <t xml:space="preserve">Routebegeleiding, veiligheidsmateriaal en locatiekosten van de startritten.</t>
  </si>
  <si>
    <t xml:space="preserve">Deelnemer-startpakketten: helm, verlichting, herkenbaarheid</t>
  </si>
  <si>
    <t xml:space="preserve">Circa 20 pakketten a EUR 35.</t>
  </si>
  <si>
    <t xml:space="preserve">Intake, aanmeldproces en deelnemersondersteuning</t>
  </si>
  <si>
    <t xml:space="preserve">Aanmeldsysteem, intakegesprekken en administratie.</t>
  </si>
  <si>
    <t xml:space="preserve">Monitoring en eindrapportage</t>
  </si>
  <si>
    <t xml:space="preserve">Vragenlijsten en eindverslag aan de gemeente.</t>
  </si>
  <si>
    <t xml:space="preserve">Inzet Bredase fietsenmaker: fietsen, werkplaats en expertise (in natura)</t>
  </si>
  <si>
    <t xml:space="preserve">Bijdrage in natura. Zie gelijke post bij de inkomsten.</t>
  </si>
  <si>
    <t xml:space="preserve">Eigen inzet Velo Vital: organisatie, coordinatie en begeleiding</t>
  </si>
  <si>
    <t xml:space="preserve">Onbetaalde eigen uren, gewaardeerd als bijdrage in natura.</t>
  </si>
  <si>
    <t xml:space="preserve">Vrijwilligersinzet ritbegeleiding en groepsbeheer (in natura)</t>
  </si>
  <si>
    <t xml:space="preserve">Circa 8 vrijwilligers, gewaardeerd als bijdrage in natura.</t>
  </si>
  <si>
    <t xml:space="preserve">Zichtbaarheid en bereik via lokale partners (in natura)</t>
  </si>
  <si>
    <t xml:space="preserve">Horeca, citymarketing en sportgroepen. Bijdrage in natura.</t>
  </si>
  <si>
    <t xml:space="preserve">Totale uitgaven</t>
  </si>
  <si>
    <t xml:space="preserve">Inkomsten en dekking</t>
  </si>
  <si>
    <t xml:space="preserve">Bron</t>
  </si>
  <si>
    <t xml:space="preserve">Gevraagde subsidie gemeente Breda</t>
  </si>
  <si>
    <t xml:space="preserve">Deze aanvraag, regeling Kleine initiatieven 2026.</t>
  </si>
  <si>
    <t xml:space="preserve">Bijdrage in natura Bredase fietsenmaker</t>
  </si>
  <si>
    <t xml:space="preserve">Fietsen, werkplaats en expertise.</t>
  </si>
  <si>
    <t xml:space="preserve">Eigen inzet en eigen middelen Velo Vital</t>
  </si>
  <si>
    <t xml:space="preserve">Onbetaalde eigen uren en eigen middelen.</t>
  </si>
  <si>
    <t xml:space="preserve">Bijdrage in natura vrijwilligers</t>
  </si>
  <si>
    <t xml:space="preserve">Ritbegeleiding en groepsbeheer.</t>
  </si>
  <si>
    <t xml:space="preserve">Bijdrage in natura lokale partners</t>
  </si>
  <si>
    <t xml:space="preserve">Horeca, citymarketing en sportgroepen.</t>
  </si>
  <si>
    <t xml:space="preserve">Totale inkomsten</t>
  </si>
  <si>
    <t xml:space="preserve">Saldo (moet nul zijn)</t>
  </si>
  <si>
    <t xml:space="preserve">De begroting is sluitend: de totale uitgaven zijn gelijk aan de totale inkomsten.</t>
  </si>
  <si>
    <t xml:space="preserve">Bijdragen in natura zijn aan beide zijden opgenomen, zodat zichtbaar is welke waarde partners en vrijwilligers inbrengen zonder dat daar subsidie tegenover staat.</t>
  </si>
  <si>
    <t xml:space="preserve">De gevraagde subsidie van EUR 5.000 dekt uitsluitend de directe uitvoeringskosten: werving, onderhoud, content, ritten, startpakketten, intake en monitoring (samen EUR 5.000).</t>
  </si>
  <si>
    <t xml:space="preserve">Er wordt voor deze activiteit geen andere subsidie van de gemeente Breda ontvangen.</t>
  </si>
  <si>
    <t xml:space="preserve">Bedragen zijn opgesteld door Velo Vital op basis van de kosten van de lopende leenfietsronde in 's-Hertogenbosch.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</si>
</sst>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€ &quot;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0B18"/>
        <bgColor rgb="FF000000"/>
      </patternFill>
    </fill>
    <fill>
      <patternFill patternType="solid">
        <fgColor rgb="FFF0DFD3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0DFD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0B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  <c r="B6" s="3" t="s">
        <v>10</v>
      </c>
    </row>
    <row r="8" customFormat="false" ht="17.35" hidden="false" customHeight="false" outlineLevel="0" collapsed="false">
      <c r="A8" s="1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  <c r="C9" s="4" t="s">
        <v>14</v>
      </c>
    </row>
    <row r="10" customFormat="false" ht="39.55" hidden="false" customHeight="false" outlineLevel="0" collapsed="false">
      <c r="A10" s="5" t="s">
        <v>15</v>
      </c>
      <c r="B10" s="6" t="n">
        <v>1400</v>
      </c>
      <c r="C10" s="5" t="s">
        <v>16</v>
      </c>
    </row>
    <row r="11" customFormat="false" ht="26.85" hidden="false" customHeight="false" outlineLevel="0" collapsed="false">
      <c r="A11" s="5" t="s">
        <v>17</v>
      </c>
      <c r="B11" s="6" t="n">
        <v>900</v>
      </c>
      <c r="C11" s="5" t="s">
        <v>18</v>
      </c>
    </row>
    <row r="12" customFormat="false" ht="26.85" hidden="false" customHeight="false" outlineLevel="0" collapsed="false">
      <c r="A12" s="5" t="s">
        <v>19</v>
      </c>
      <c r="B12" s="6" t="n">
        <v>800</v>
      </c>
      <c r="C12" s="5" t="s">
        <v>20</v>
      </c>
    </row>
    <row r="13" customFormat="false" ht="26.85" hidden="false" customHeight="false" outlineLevel="0" collapsed="false">
      <c r="A13" s="5" t="s">
        <v>21</v>
      </c>
      <c r="B13" s="6" t="n">
        <v>750</v>
      </c>
      <c r="C13" s="5" t="s">
        <v>22</v>
      </c>
    </row>
    <row r="14" customFormat="false" ht="15" hidden="false" customHeight="false" outlineLevel="0" collapsed="false">
      <c r="A14" s="5" t="s">
        <v>23</v>
      </c>
      <c r="B14" s="6" t="n">
        <v>700</v>
      </c>
      <c r="C14" s="5" t="s">
        <v>24</v>
      </c>
    </row>
    <row r="15" customFormat="false" ht="26.85" hidden="false" customHeight="false" outlineLevel="0" collapsed="false">
      <c r="A15" s="5" t="s">
        <v>25</v>
      </c>
      <c r="B15" s="6" t="n">
        <v>300</v>
      </c>
      <c r="C15" s="5" t="s">
        <v>26</v>
      </c>
    </row>
    <row r="16" customFormat="false" ht="15" hidden="false" customHeight="false" outlineLevel="0" collapsed="false">
      <c r="A16" s="5" t="s">
        <v>27</v>
      </c>
      <c r="B16" s="6" t="n">
        <v>150</v>
      </c>
      <c r="C16" s="5" t="s">
        <v>28</v>
      </c>
    </row>
    <row r="17" customFormat="false" ht="26.85" hidden="false" customHeight="false" outlineLevel="0" collapsed="false">
      <c r="A17" s="5" t="s">
        <v>29</v>
      </c>
      <c r="B17" s="6" t="n">
        <v>2000</v>
      </c>
      <c r="C17" s="5" t="s">
        <v>30</v>
      </c>
    </row>
    <row r="18" customFormat="false" ht="26.85" hidden="false" customHeight="false" outlineLevel="0" collapsed="false">
      <c r="A18" s="5" t="s">
        <v>31</v>
      </c>
      <c r="B18" s="6" t="n">
        <v>2000</v>
      </c>
      <c r="C18" s="5" t="s">
        <v>32</v>
      </c>
    </row>
    <row r="19" customFormat="false" ht="26.85" hidden="false" customHeight="false" outlineLevel="0" collapsed="false">
      <c r="A19" s="5" t="s">
        <v>33</v>
      </c>
      <c r="B19" s="6" t="n">
        <v>1000</v>
      </c>
      <c r="C19" s="5" t="s">
        <v>34</v>
      </c>
    </row>
    <row r="20" customFormat="false" ht="26.85" hidden="false" customHeight="false" outlineLevel="0" collapsed="false">
      <c r="A20" s="5" t="s">
        <v>35</v>
      </c>
      <c r="B20" s="6" t="n">
        <v>1000</v>
      </c>
      <c r="C20" s="5" t="s">
        <v>36</v>
      </c>
    </row>
    <row r="21" customFormat="false" ht="15" hidden="false" customHeight="false" outlineLevel="0" collapsed="false">
      <c r="A21" s="7" t="s">
        <v>37</v>
      </c>
      <c r="B21" s="8" t="n">
        <f aca="false">SUM(B10:B20)</f>
        <v>11000</v>
      </c>
      <c r="C21" s="9"/>
    </row>
    <row r="23" customFormat="false" ht="17.35" hidden="false" customHeight="false" outlineLevel="0" collapsed="false">
      <c r="A23" s="1" t="s">
        <v>38</v>
      </c>
    </row>
    <row r="24" customFormat="false" ht="15" hidden="false" customHeight="false" outlineLevel="0" collapsed="false">
      <c r="A24" s="4" t="s">
        <v>39</v>
      </c>
      <c r="B24" s="4" t="s">
        <v>13</v>
      </c>
      <c r="C24" s="4" t="s">
        <v>14</v>
      </c>
    </row>
    <row r="25" customFormat="false" ht="15" hidden="false" customHeight="false" outlineLevel="0" collapsed="false">
      <c r="A25" s="5" t="s">
        <v>40</v>
      </c>
      <c r="B25" s="6" t="n">
        <v>5000</v>
      </c>
      <c r="C25" s="5" t="s">
        <v>41</v>
      </c>
    </row>
    <row r="26" customFormat="false" ht="15" hidden="false" customHeight="false" outlineLevel="0" collapsed="false">
      <c r="A26" s="5" t="s">
        <v>42</v>
      </c>
      <c r="B26" s="6" t="n">
        <v>2000</v>
      </c>
      <c r="C26" s="5" t="s">
        <v>43</v>
      </c>
    </row>
    <row r="27" customFormat="false" ht="15" hidden="false" customHeight="false" outlineLevel="0" collapsed="false">
      <c r="A27" s="5" t="s">
        <v>44</v>
      </c>
      <c r="B27" s="6" t="n">
        <v>2000</v>
      </c>
      <c r="C27" s="5" t="s">
        <v>45</v>
      </c>
    </row>
    <row r="28" customFormat="false" ht="15" hidden="false" customHeight="false" outlineLevel="0" collapsed="false">
      <c r="A28" s="5" t="s">
        <v>46</v>
      </c>
      <c r="B28" s="6" t="n">
        <v>1000</v>
      </c>
      <c r="C28" s="5" t="s">
        <v>47</v>
      </c>
    </row>
    <row r="29" customFormat="false" ht="15" hidden="false" customHeight="false" outlineLevel="0" collapsed="false">
      <c r="A29" s="5" t="s">
        <v>48</v>
      </c>
      <c r="B29" s="6" t="n">
        <v>1000</v>
      </c>
      <c r="C29" s="5" t="s">
        <v>49</v>
      </c>
    </row>
    <row r="30" customFormat="false" ht="15" hidden="false" customHeight="false" outlineLevel="0" collapsed="false">
      <c r="A30" s="7" t="s">
        <v>50</v>
      </c>
      <c r="B30" s="8" t="n">
        <f aca="false">SUM(B25:B29)</f>
        <v>11000</v>
      </c>
      <c r="C30" s="9"/>
    </row>
    <row r="32" customFormat="false" ht="15" hidden="false" customHeight="false" outlineLevel="0" collapsed="false">
      <c r="A32" s="10" t="s">
        <v>51</v>
      </c>
      <c r="B32" s="11" t="n">
        <f aca="false">B30-B21</f>
        <v>0</v>
      </c>
      <c r="C32" s="12"/>
    </row>
    <row r="34" customFormat="false" ht="15" hidden="false" customHeight="false" outlineLevel="0" collapsed="false">
      <c r="A34" s="2" t="s">
        <v>14</v>
      </c>
    </row>
    <row r="35" customFormat="false" ht="27.75" hidden="false" customHeight="true" outlineLevel="0" collapsed="false">
      <c r="A35" s="13" t="s">
        <v>52</v>
      </c>
      <c r="B35" s="13"/>
      <c r="C35" s="13"/>
    </row>
    <row r="36" customFormat="false" ht="27.75" hidden="false" customHeight="true" outlineLevel="0" collapsed="false">
      <c r="A36" s="13" t="s">
        <v>53</v>
      </c>
      <c r="B36" s="13"/>
      <c r="C36" s="13"/>
    </row>
    <row r="37" customFormat="false" ht="27.75" hidden="false" customHeight="true" outlineLevel="0" collapsed="false">
      <c r="A37" s="13" t="s">
        <v>54</v>
      </c>
      <c r="B37" s="13"/>
      <c r="C37" s="13"/>
    </row>
    <row r="38" customFormat="false" ht="27.75" hidden="false" customHeight="true" outlineLevel="0" collapsed="false">
      <c r="A38" s="13" t="s">
        <v>55</v>
      </c>
      <c r="B38" s="13"/>
      <c r="C38" s="13"/>
    </row>
    <row r="39" customFormat="false" ht="27.75" hidden="false" customHeight="true" outlineLevel="0" collapsed="false">
      <c r="A39" s="13" t="s">
        <v>56</v>
      </c>
      <c r="B39" s="13"/>
      <c r="C39" s="13"/>
    </row>
  </sheetData>
  <mergeCells count="5">
    <mergeCell ref="A35:C35"/>
    <mergeCell ref="A36:C36"/>
    <mergeCell ref="A37:C37"/>
    <mergeCell ref="A38:C38"/>
    <mergeCell ref="A39:C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2026-08-30T17:16:03Z</dcterms:created>
  <dc:creator>openpyxl</dc:creator>
  <dc:description/>
  <dc:language>en-US</dc:language>
  <cp:lastModifiedBy/>
  <dcterms:modified xsi:type="dcterms:W3CDTF">2026-08-30T17:16:03Z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