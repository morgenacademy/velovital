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1"/>
  </bookViews>
  <sheets>
    <sheet name="Toelichting" sheetId="1" state="visible" r:id="rId3"/>
    <sheet name="Begroting per activiteit" sheetId="2" state="visible" r:id="rId4"/>
    <sheet name="Totaaloverzicht en controle" sheetId="3" state="visible" r:id="rId5"/>
  </sheets>
  <definedNames>
    <definedName function="false" hidden="false" localSheetId="1" name="_xlnm.Print_Area" vbProcedure="false">'Begroting per activiteit'!$A$1:$K$102</definedName>
    <definedName function="false" hidden="false" localSheetId="1" name="_xlnm.Print_Titles" vbProcedure="false">'Begroting per activiteit'!$6:$10</definedName>
    <definedName function="false" hidden="false" localSheetId="0" name="_xlnm.Print_Area" vbProcedure="false">Toelichting!$A$1:$M$46</definedName>
    <definedName function="false" hidden="false" localSheetId="2" name="_xlnm.Print_Area" vbProcedure="false">'Totaaloverzicht en controle'!$B$1:$K$38</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Gemeente Breda</author>
  </authors>
  <commentList>
    <comment ref="A14" authorId="0">
      <text>
        <r>
          <rPr>
            <sz val="10"/>
            <rFont val="Arial"/>
            <family val="2"/>
          </rPr>
          <t xml:space="preserve">Kosten van medewerkers die aan deze activiteit werken. Vul de inzet, het gemiddelde salaris en de kosten voor ondersteuning en organisatie in.</t>
        </r>
      </text>
    </comment>
    <comment ref="A15" authorId="0">
      <text>
        <r>
          <rPr>
            <sz val="10"/>
            <rFont val="Arial"/>
            <family val="2"/>
          </rPr>
          <t xml:space="preserve">Vul in hoeveel inzet van medewerkers nodig is. Reken om naar fulltime. Eén fulltime medewerker telt als 1.</t>
        </r>
      </text>
    </comment>
    <comment ref="A16" authorId="0">
      <text>
        <r>
          <rPr>
            <sz val="10"/>
            <rFont val="Arial"/>
            <family val="2"/>
          </rPr>
          <t xml:space="preserve">Vul het gemiddelde salaris per fulltime medewerker in dat hoort bij deze activiteit.</t>
        </r>
      </text>
    </comment>
    <comment ref="A17" authorId="0">
      <text>
        <r>
          <rPr>
            <sz val="10"/>
            <rFont val="Arial"/>
            <family val="2"/>
          </rPr>
          <t xml:space="preserve">Vul de gemiddelde kosten in voor management en ondersteuning per medewerker
 binnen je organisatie.</t>
        </r>
      </text>
    </comment>
    <comment ref="A20" authorId="0">
      <text>
        <r>
          <rPr>
            <sz val="10"/>
            <rFont val="Arial"/>
            <family val="2"/>
          </rPr>
          <t xml:space="preserve">Kosten van ingehuurde medewerkers of externe partijen. Vul het aantal uren en het gemiddelde uurtarief in.</t>
        </r>
      </text>
    </comment>
    <comment ref="A21" authorId="0">
      <text>
        <r>
          <rPr>
            <sz val="10"/>
            <rFont val="Arial"/>
            <family val="2"/>
          </rPr>
          <t xml:space="preserve">Vul het totaal aantal ingehuurde uren in dat nodig is voor deze activiteit.</t>
        </r>
      </text>
    </comment>
    <comment ref="A22" authorId="0">
      <text>
        <r>
          <rPr>
            <sz val="10"/>
            <rFont val="Arial"/>
            <family val="2"/>
          </rPr>
          <t xml:space="preserve">Vul het gemiddelde uurtarief van de ingehuurde medewerkers of externe partij in.</t>
        </r>
      </text>
    </comment>
    <comment ref="A25" authorId="0">
      <text>
        <r>
          <rPr>
            <sz val="10"/>
            <rFont val="Arial"/>
            <family val="2"/>
          </rPr>
          <t xml:space="preserve">Bijvoorbeeld huur, servicekosten, afschrijving gebouw, kosten voor gas/water/energie, onderhoud gebouwen, heffingen OZB/waterschap, verzekeringen, inventaris, beveiliging, schoonmaak. Vul alleen kosten in die nodig zijn voor deze activiteit.</t>
        </r>
      </text>
    </comment>
    <comment ref="A38" authorId="0">
      <text>
        <r>
          <rPr>
            <sz val="10"/>
            <rFont val="Arial"/>
            <family val="2"/>
          </rPr>
          <t xml:space="preserve">Algemene kosten van je organisatie, zoals kantoor- en administratiekosten, ICT/automatisering, telefoon en internet, drukwerk, website, kantoorbenodigdheden, bankkosten, bestuurskosten, belasting, portokosten, contributies, abonnementen, fiscale of juridische advieskosten en transport (bus voor goederentransport).</t>
        </r>
      </text>
    </comment>
    <comment ref="A56" authorId="0">
      <text>
        <r>
          <rPr>
            <sz val="10"/>
            <rFont val="Arial"/>
            <family val="2"/>
          </rPr>
          <t xml:space="preserve">Kosten die direct nodig zijn voor de activiteit, zoals materialen, zaalhuur, promotie of begeleiding.</t>
        </r>
      </text>
    </comment>
    <comment ref="A69" authorId="0">
      <text>
        <r>
          <rPr>
            <sz val="10"/>
            <rFont val="Arial"/>
            <family val="2"/>
          </rPr>
          <t xml:space="preserve">Dit overzicht hoef je niet in te vullen. De bedragen worden automatisch berekend met de gegevens hierboven.</t>
        </r>
      </text>
    </comment>
    <comment ref="A86" authorId="0">
      <text>
        <r>
          <rPr>
            <sz val="10"/>
            <rFont val="Arial"/>
            <family val="2"/>
          </rPr>
          <t xml:space="preserve">Vul subsidies in die je voor deze activiteit krijgt van andere organisaties. Geef ook aan van wie je deze subsidie krijgt.
Gebruik de lege regelsom elke subsidie te omschrijven.
</t>
        </r>
      </text>
    </comment>
    <comment ref="A95" authorId="0">
      <text>
        <r>
          <rPr>
            <sz val="10"/>
            <rFont val="Arial"/>
            <family val="2"/>
          </rPr>
          <t xml:space="preserve">Vul andere inkomsten in die je voor de activiteit krijgt. Geef ook aan waar deze inkomsten vandaan komen.
Hier mag je ook het bedrag opvoeren dat je als organisatie zelf bijdraagt aan de activiteit.
Gebruik de lege regels om overige inkomsten te omschrijven.</t>
        </r>
      </text>
    </comment>
  </commentList>
</comments>
</file>

<file path=xl/sharedStrings.xml><?xml version="1.0" encoding="utf-8"?>
<sst xmlns="http://schemas.openxmlformats.org/spreadsheetml/2006/main" count="261" uniqueCount="109">
  <si>
    <t xml:space="preserve">Activiteitenbegroting invullen</t>
  </si>
  <si>
    <t xml:space="preserve">Waarom moet je laten zien dat subsidie nodig is?</t>
  </si>
  <si>
    <t xml:space="preserve">Volgens de Algemene Subsidieverordening (ASV) van de gemeente Breda is subsidie bedoeld voor activiteiten die zonder deze bijdrage niet kunnen doorgaan. Met deze begroting laat je zien welke activiteiten je organiseert, wat deze kosten, welke inkomsten je hebt en hoeveel subsidie je nodig hebt. En onderbouw je dat de subsidie nodig is om jouw activiteiten uit te voeren.</t>
  </si>
  <si>
    <t xml:space="preserve">Waarom is een sluitende begroting belangrijk?</t>
  </si>
  <si>
    <t xml:space="preserve">Een sluitende begroting laat zien dat je inkomsten en uitgaven met elkaar in balans zijn. Dit betekent dat alle kosten zijn betaald uit eigen inkomsten, bijdragen van anderen en de aangevraagde subsidie. Zo wordt duidelijk dat de begroting compleet en realistisch is en dat het aangevraagde subsidiebedrag goed is onderbouwd.</t>
  </si>
  <si>
    <t xml:space="preserve">Belangrijk: vul alleen de witte velden in. De pictogrammen en kleuren staan bovenaan de tabbladen waar je invult en controleert. Verwijder geen rijen, kolommen of formules. Dan blijven de automatische berekeningen goed werken. 				
						</t>
  </si>
  <si>
    <t xml:space="preserve">Bestand openen en bewerken</t>
  </si>
  <si>
    <t xml:space="preserve">Op een telefoon of tablet kun je dit bestand niet bewerken. Gebruik een computer.Krijg je de melding dat je het bestand alleen kunt lezen? Volg dan deze stappen:						
1.	Kies Bestand &gt; Opslaan als &gt; Een kopie downloaden.					
2. Open rechtsboven de downloads via het pijltje naar beneden.					
	Zie je het pijltje niet? Druk tegelijk op Ctrl en J om je downloads te openen.											
3.	Kies bij het gedownloade bestand voor Bestand openen. Je kunt het bestand nu bewerken.					
						</t>
  </si>
  <si>
    <t xml:space="preserve">Zo vul je het bestand in</t>
  </si>
  <si>
    <t xml:space="preserve">1
🟦</t>
  </si>
  <si>
    <t xml:space="preserve">Start in tabblad: Begroting per activiteit</t>
  </si>
  <si>
    <t xml:space="preserve">Vul eerst je activiteiten in: korte omschrijving, hoe vaak je de activiteit organiseert en hoeveel mensen je bereikt.</t>
  </si>
  <si>
    <t xml:space="preserve">↓</t>
  </si>
  <si>
    <t xml:space="preserve">2
💶</t>
  </si>
  <si>
    <t xml:space="preserve">Vul kosten in hetzelfde tabblad</t>
  </si>
  <si>
    <t xml:space="preserve">Vul de kosten in: medewerkers, inhuur, huisvesting, organisatiekosten en activiteitenkosten. Gebruik de grijze info-iconen voor uitleg.</t>
  </si>
  <si>
    <t xml:space="preserve">3
🟨</t>
  </si>
  <si>
    <t xml:space="preserve">Bekijk het automatische overzicht kosten</t>
  </si>
  <si>
    <t xml:space="preserve">Dit overzicht staat onder de kosten. Je hoeft dit niet zelf in te vullen. Controleer alleen of de bedragen kloppen.</t>
  </si>
  <si>
    <t xml:space="preserve">4
⬜</t>
  </si>
  <si>
    <t xml:space="preserve">Vul inkomsten in hetzelfde tabblad</t>
  </si>
  <si>
    <t xml:space="preserve">Vul de inkomsten in: subsidie van gemeente Breda, sponsoring of giften, bijdragen van deelnemers, eigen bijdragen, andere subsidies en overige inkomsten.</t>
  </si>
  <si>
    <t xml:space="preserve">5
✅</t>
  </si>
  <si>
    <t xml:space="preserve">Ga naar tabblad: Totaaloverzicht en controle</t>
  </si>
  <si>
    <t xml:space="preserve">Doe hier de eindcontrole. Is de uitkomst 0? Dan is je begroting compleet. Is de uitkomst geen 0? Controleer dan je bedragen.</t>
  </si>
  <si>
    <t xml:space="preserve">Kort voorbeeld van een complete begroting</t>
  </si>
  <si>
    <t xml:space="preserve">Activiteit</t>
  </si>
  <si>
    <t xml:space="preserve">Kosten</t>
  </si>
  <si>
    <t xml:space="preserve">Inkomsten</t>
  </si>
  <si>
    <t xml:space="preserve">Controle</t>
  </si>
  <si>
    <t xml:space="preserve">Training</t>
  </si>
  <si>
    <t xml:space="preserve">0 = compleet</t>
  </si>
  <si>
    <t xml:space="preserve">ACTIVITEITENBEGROTING SUBSIDIEAANVRAAG </t>
  </si>
  <si>
    <t xml:space="preserve">Geel vak = automatisch berekend. Niet invullen.</t>
  </si>
  <si>
    <t xml:space="preserve">Wit vak = zelf invullen. Laat de velden die niet van toepassing zijn leeg.</t>
  </si>
  <si>
    <t xml:space="preserve">i</t>
  </si>
  <si>
    <t xml:space="preserve">Grijs info-icoon = uitleg</t>
  </si>
  <si>
    <t xml:space="preserve">Naam organisatie</t>
  </si>
  <si>
    <t xml:space="preserve">Stichting Wielerevenementen Aalburg (handelsnaam Velo Vital)</t>
  </si>
  <si>
    <t xml:space="preserve">Naam project</t>
  </si>
  <si>
    <t xml:space="preserve">Velo Vital Breda - startronde leenfiets en fietsgroep voor vrouwen</t>
  </si>
  <si>
    <t xml:space="preserve">Activiteiten</t>
  </si>
  <si>
    <t xml:space="preserve">Activiteit 1</t>
  </si>
  <si>
    <t xml:space="preserve">Activiteit 2</t>
  </si>
  <si>
    <t xml:space="preserve">Activiteit 3</t>
  </si>
  <si>
    <t xml:space="preserve">Activiteit 4</t>
  </si>
  <si>
    <t xml:space="preserve">Activiteit 5</t>
  </si>
  <si>
    <t xml:space="preserve">Activiteit 6</t>
  </si>
  <si>
    <t xml:space="preserve">Activiteit 7</t>
  </si>
  <si>
    <t xml:space="preserve">Activiteit 8</t>
  </si>
  <si>
    <t xml:space="preserve">Omschrijving Activiteiten</t>
  </si>
  <si>
    <t xml:space="preserve">Werving, campagne en intake van deelnemers</t>
  </si>
  <si>
    <t xml:space="preserve">Leenfietsen beschikbaar stellen, afstellen en onderhouden</t>
  </si>
  <si>
    <t xml:space="preserve">Begeleide fietsgroep: kennismakingsritten en vaste fietsmomenten</t>
  </si>
  <si>
    <t xml:space="preserve">Doorstroom naar zelfstandig fietsen, monitoring en eindrapportage</t>
  </si>
  <si>
    <t xml:space="preserve">Hoe vaak organiseer je deze activiteit?</t>
  </si>
  <si>
    <t xml:space="preserve">eenmalige wervingsronde, okt-dec 2026</t>
  </si>
  <si>
    <t xml:space="preserve">doorlopend, dec 2026 - jun 2027</t>
  </si>
  <si>
    <t xml:space="preserve">circa 20 ritten, jan-jun 2027</t>
  </si>
  <si>
    <t xml:space="preserve">afrondende ronde, jun 2027</t>
  </si>
  <si>
    <t xml:space="preserve">Hoeveel mensen bereik je met deze activiteit?</t>
  </si>
  <si>
    <t xml:space="preserve">?</t>
  </si>
  <si>
    <t xml:space="preserve">Personeelskosten </t>
  </si>
  <si>
    <t xml:space="preserve">Totaal aanvraag</t>
  </si>
  <si>
    <t xml:space="preserve">Aantal medewerkers (fulltime omgerekend)</t>
  </si>
  <si>
    <t xml:space="preserve">Gemiddeld salaris per fulltime medewerker</t>
  </si>
  <si>
    <t xml:space="preserve">Gemiddelde kosten voor management en ondersteuning </t>
  </si>
  <si>
    <t xml:space="preserve">Totaal</t>
  </si>
  <si>
    <t xml:space="preserve">Personeelskosten inhuur</t>
  </si>
  <si>
    <t xml:space="preserve">Aantal uren</t>
  </si>
  <si>
    <t xml:space="preserve">Gemiddeld uurtarief inhuur</t>
  </si>
  <si>
    <t xml:space="preserve">Huisvestingskosten</t>
  </si>
  <si>
    <t xml:space="preserve">Organisatiekosten</t>
  </si>
  <si>
    <t xml:space="preserve">Lokale campagne en werving in Breda</t>
  </si>
  <si>
    <t xml:space="preserve">Content en deelnemersverhalen voor werving</t>
  </si>
  <si>
    <t xml:space="preserve">Intake, aanmeldproces en deelnemersondersteuning</t>
  </si>
  <si>
    <t xml:space="preserve">Monitoring en eindrapportage</t>
  </si>
  <si>
    <t xml:space="preserve">Eigen inzet Velo Vital: organisatie en cooerdinatie (bijdrage in natura)</t>
  </si>
  <si>
    <t xml:space="preserve">Zichtbaarheid en bereik via lokale partners (bijdrage in natura)</t>
  </si>
  <si>
    <t xml:space="preserve">Activiteitenkosten</t>
  </si>
  <si>
    <t xml:space="preserve">Fietschecks, onderhoud en rijklaar maken van de leenfietsen</t>
  </si>
  <si>
    <t xml:space="preserve">Deelnemer-startpakketten: helm, verlichting, herkenbaarheid</t>
  </si>
  <si>
    <t xml:space="preserve">Kennismakingsritten en groepsactivatie</t>
  </si>
  <si>
    <t xml:space="preserve">Inzet Bredase fietsenmaker: fietsen, werkplaats en expertise (bijdrage in natura)</t>
  </si>
  <si>
    <t xml:space="preserve">Vrijwilligersinzet ritbegeleiding en groepsbeheer (bijdrage in natura)</t>
  </si>
  <si>
    <t xml:space="preserve">AUTOMATISCH OVERZICHT KOSTEN</t>
  </si>
  <si>
    <t xml:space="preserve">Personeelskosten</t>
  </si>
  <si>
    <t xml:space="preserve">Totaal kosten</t>
  </si>
  <si>
    <t xml:space="preserve">Na het kostenoverzicht vul je hieronder de inkomsten in.</t>
  </si>
  <si>
    <t xml:space="preserve">INKOMSTEN</t>
  </si>
  <si>
    <t xml:space="preserve">Gevraagde subsidie gemeente Breda</t>
  </si>
  <si>
    <t xml:space="preserve">Sponsorbijdragen / Giften</t>
  </si>
  <si>
    <t xml:space="preserve">Bijdragen deelnemers</t>
  </si>
  <si>
    <t xml:space="preserve">Andere subsidies</t>
  </si>
  <si>
    <t xml:space="preserve">Overige inkomsten</t>
  </si>
  <si>
    <t xml:space="preserve">Totaal inkomsten</t>
  </si>
  <si>
    <t xml:space="preserve">Bijdrage in natura Bredase fietsenmaker (fietsen, werkplaats, expertise)</t>
  </si>
  <si>
    <t xml:space="preserve">Eigen inzet Velo Vital: onbetaalde uren organisatie en begeleiding</t>
  </si>
  <si>
    <t xml:space="preserve">Bijdrage in natura vrijwilligers (ritbegeleiding en groepsbeheer)</t>
  </si>
  <si>
    <t xml:space="preserve">Bijdrage in natura lokale partners (zichtbaarheid en bereik)</t>
  </si>
  <si>
    <t xml:space="preserve">Totaaloverzicht en controle</t>
  </si>
  <si>
    <t xml:space="preserve">🟨 Geel = automatisch berekend     ✅ Groen = controle klopt     ⚠️ Rood = controleer de bedragen</t>
  </si>
  <si>
    <t xml:space="preserve">KOSTEN</t>
  </si>
  <si>
    <t xml:space="preserve">Controle begroting: 0 betekent dat kosten en inkomsten gelijk zijn</t>
  </si>
  <si>
    <t xml:space="preserve">Let op: staat er iets anders dan 0? Controleer dan de kosten en inkomsten in het tabblad Begroting per activiteit.</t>
  </si>
  <si>
    <t xml:space="preserve">Samenvatting aangevraagde subsidie van gemeente Breda per activiteit</t>
  </si>
  <si>
    <t xml:space="preserve">Omschrijving Activiteit</t>
  </si>
  <si>
    <t xml:space="preserve">Hoeveel mensen bereik je?</t>
  </si>
  <si>
    <t xml:space="preserve">Aangevraagd subsidiebedrag</t>
  </si>
</sst>
</file>

<file path=xl/styles.xml><?xml version="1.0" encoding="utf-8"?>
<styleSheet xmlns="http://schemas.openxmlformats.org/spreadsheetml/2006/main">
  <numFmts count="6">
    <numFmt numFmtId="164" formatCode="General"/>
    <numFmt numFmtId="165" formatCode="&quot;€ &quot;#,##0;[RED]&quot;€ -&quot;#,##0"/>
    <numFmt numFmtId="166" formatCode="@"/>
    <numFmt numFmtId="167" formatCode="#,##0"/>
    <numFmt numFmtId="168" formatCode="#,##0.00_ ;\-#,##0.00\ "/>
    <numFmt numFmtId="169" formatCode="_ &quot;€ &quot;* #,##0.00_ ;_ &quot;€ &quot;* \-#,##0.00_ ;_ &quot;€ &quot;* \-??_ ;_ @_ "/>
  </numFmts>
  <fonts count="32">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sz val="20"/>
      <color rgb="FFB6C3D1"/>
      <name val="Calibri"/>
      <family val="0"/>
      <charset val="1"/>
    </font>
    <font>
      <b val="true"/>
      <sz val="13"/>
      <color rgb="FF000000"/>
      <name val="Calibri"/>
      <family val="0"/>
      <charset val="1"/>
    </font>
    <font>
      <sz val="11"/>
      <color rgb="FF000000"/>
      <name val="Calibri"/>
      <family val="2"/>
      <charset val="1"/>
    </font>
    <font>
      <b val="true"/>
      <sz val="12"/>
      <name val="Calibri"/>
      <family val="0"/>
      <charset val="1"/>
    </font>
    <font>
      <b val="true"/>
      <sz val="14"/>
      <color rgb="FFEAEFF3"/>
      <name val="Calibri"/>
      <family val="0"/>
      <charset val="1"/>
    </font>
    <font>
      <b val="true"/>
      <sz val="16"/>
      <color rgb="FF1F4E78"/>
      <name val="Segoe UI Emoji"/>
      <family val="0"/>
      <charset val="1"/>
    </font>
    <font>
      <b val="true"/>
      <sz val="12"/>
      <color rgb="FF000000"/>
      <name val="Calibri"/>
      <family val="0"/>
      <charset val="1"/>
    </font>
    <font>
      <b val="true"/>
      <sz val="16"/>
      <color rgb="FFE6223D"/>
      <name val="Calibri"/>
      <family val="0"/>
      <charset val="1"/>
    </font>
    <font>
      <b val="true"/>
      <sz val="11"/>
      <color rgb="FF000000"/>
      <name val="Calibri"/>
      <family val="0"/>
      <charset val="1"/>
    </font>
    <font>
      <b val="true"/>
      <sz val="11"/>
      <color rgb="FF000000"/>
      <name val="Calibri"/>
      <family val="2"/>
      <charset val="1"/>
    </font>
    <font>
      <b val="true"/>
      <sz val="11"/>
      <color theme="1"/>
      <name val="Calibri"/>
      <family val="2"/>
      <charset val="1"/>
    </font>
    <font>
      <b val="true"/>
      <sz val="14"/>
      <color rgb="FFEAEFF3"/>
      <name val="Calibri"/>
      <family val="2"/>
      <charset val="1"/>
    </font>
    <font>
      <b val="true"/>
      <sz val="14"/>
      <color rgb="FF1F4E78"/>
      <name val="Segoe UI Emoji"/>
      <family val="0"/>
      <charset val="1"/>
    </font>
    <font>
      <b val="true"/>
      <sz val="11"/>
      <name val="Calibri"/>
      <family val="0"/>
      <charset val="1"/>
    </font>
    <font>
      <b val="true"/>
      <sz val="12"/>
      <color rgb="FFFFFFFF"/>
      <name val="Calibri"/>
      <family val="0"/>
      <charset val="1"/>
    </font>
    <font>
      <b val="true"/>
      <sz val="11"/>
      <color rgb="FFEAEFF3"/>
      <name val="Calibri"/>
      <family val="2"/>
      <charset val="1"/>
    </font>
    <font>
      <b val="true"/>
      <sz val="11"/>
      <name val="Calibri"/>
      <family val="2"/>
      <charset val="1"/>
    </font>
    <font>
      <sz val="11"/>
      <color rgb="FFEAEFF3"/>
      <name val="Calibri"/>
      <family val="2"/>
      <charset val="1"/>
    </font>
    <font>
      <b val="true"/>
      <sz val="9"/>
      <color rgb="FFFFFFFF"/>
      <name val="Calibri"/>
      <family val="0"/>
      <charset val="1"/>
    </font>
    <font>
      <b val="true"/>
      <sz val="11"/>
      <color rgb="FFEAEFF3"/>
      <name val="Calibri"/>
      <family val="0"/>
      <charset val="1"/>
    </font>
    <font>
      <b val="true"/>
      <sz val="9"/>
      <color rgb="FFFFFFFF"/>
      <name val="Calibri"/>
      <family val="2"/>
      <charset val="1"/>
    </font>
    <font>
      <i val="true"/>
      <sz val="10"/>
      <color rgb="FF1F4E78"/>
      <name val="Calibri"/>
      <family val="0"/>
      <charset val="1"/>
    </font>
    <font>
      <b val="true"/>
      <sz val="11"/>
      <color rgb="FFFFFFFF"/>
      <name val="Calibri"/>
      <family val="0"/>
      <charset val="1"/>
    </font>
    <font>
      <sz val="10"/>
      <name val="Arial"/>
      <family val="2"/>
    </font>
    <font>
      <sz val="14"/>
      <color theme="1"/>
      <name val="Calibri"/>
      <family val="2"/>
      <charset val="1"/>
    </font>
    <font>
      <b val="true"/>
      <sz val="11"/>
      <name val="Segoe UI Emoji"/>
      <family val="0"/>
      <charset val="1"/>
    </font>
    <font>
      <b val="true"/>
      <sz val="10"/>
      <name val="Calibri"/>
      <family val="0"/>
      <charset val="1"/>
    </font>
  </fonts>
  <fills count="15">
    <fill>
      <patternFill patternType="none"/>
    </fill>
    <fill>
      <patternFill patternType="gray125"/>
    </fill>
    <fill>
      <patternFill patternType="solid">
        <fgColor rgb="FFE6223D"/>
        <bgColor rgb="FFEB002F"/>
      </patternFill>
    </fill>
    <fill>
      <patternFill patternType="solid">
        <fgColor rgb="FFF18B81"/>
        <bgColor rgb="FFF7B5AB"/>
      </patternFill>
    </fill>
    <fill>
      <patternFill patternType="solid">
        <fgColor rgb="FFF7B5AB"/>
        <bgColor rgb="FFFBDCD5"/>
      </patternFill>
    </fill>
    <fill>
      <patternFill patternType="solid">
        <fgColor rgb="FFFBDCD5"/>
        <bgColor rgb="FFFCE4D6"/>
      </patternFill>
    </fill>
    <fill>
      <patternFill patternType="solid">
        <fgColor rgb="FFFFFFFF"/>
        <bgColor rgb="FFEAEFF3"/>
      </patternFill>
    </fill>
    <fill>
      <patternFill patternType="solid">
        <fgColor rgb="FFEAEFF3"/>
        <bgColor rgb="FFDDEBF7"/>
      </patternFill>
    </fill>
    <fill>
      <patternFill patternType="solid">
        <fgColor rgb="FFC00000"/>
        <bgColor rgb="FFEB002F"/>
      </patternFill>
    </fill>
    <fill>
      <patternFill patternType="solid">
        <fgColor rgb="FFE2F0D9"/>
        <bgColor rgb="FFEAEFF3"/>
      </patternFill>
    </fill>
    <fill>
      <patternFill patternType="solid">
        <fgColor rgb="FFEB002F"/>
        <bgColor rgb="FFFF0000"/>
      </patternFill>
    </fill>
    <fill>
      <patternFill patternType="solid">
        <fgColor rgb="FFFFC000"/>
        <bgColor rgb="FFFF9900"/>
      </patternFill>
    </fill>
    <fill>
      <patternFill patternType="solid">
        <fgColor rgb="FFB6C3D1"/>
        <bgColor rgb="FF99CCFF"/>
      </patternFill>
    </fill>
    <fill>
      <patternFill patternType="solid">
        <fgColor rgb="FFDDEBF7"/>
        <bgColor rgb="FFEAEFF3"/>
      </patternFill>
    </fill>
    <fill>
      <patternFill patternType="solid">
        <fgColor rgb="FFFFF2CC"/>
        <bgColor rgb="FFFCE4D6"/>
      </patternFill>
    </fill>
  </fills>
  <borders count="34">
    <border diagonalUp="false" diagonalDown="false">
      <left/>
      <right/>
      <top/>
      <bottom/>
      <diagonal/>
    </border>
    <border diagonalUp="false" diagonalDown="false">
      <left/>
      <right/>
      <top style="medium">
        <color rgb="FF00B0F0"/>
      </top>
      <bottom style="medium">
        <color rgb="FF00B0F0"/>
      </bottom>
      <diagonal/>
    </border>
    <border diagonalUp="false" diagonalDown="false">
      <left style="thin">
        <color rgb="FF00B0F0"/>
      </left>
      <right style="thin">
        <color rgb="FF00B0F0"/>
      </right>
      <top style="thin">
        <color rgb="FF00B0F0"/>
      </top>
      <bottom style="thin">
        <color rgb="FF00B0F0"/>
      </bottom>
      <diagonal/>
    </border>
    <border diagonalUp="false" diagonalDown="false">
      <left style="thin">
        <color rgb="FF00B0F0"/>
      </left>
      <right style="thin">
        <color rgb="FF00B0F0"/>
      </right>
      <top style="thin">
        <color rgb="FF00B0F0"/>
      </top>
      <bottom/>
      <diagonal/>
    </border>
    <border diagonalUp="false" diagonalDown="false">
      <left style="thin">
        <color rgb="FF00B0F0"/>
      </left>
      <right style="thin">
        <color rgb="FF00B0F0"/>
      </right>
      <top/>
      <bottom style="thin">
        <color rgb="FF00B0F0"/>
      </bottom>
      <diagonal/>
    </border>
    <border diagonalUp="false" diagonalDown="false">
      <left style="medium"/>
      <right style="medium"/>
      <top style="medium"/>
      <bottom style="medium"/>
      <diagonal/>
    </border>
    <border diagonalUp="false" diagonalDown="false">
      <left style="thin"/>
      <right style="thin"/>
      <top style="thin"/>
      <bottom style="thin"/>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style="medium"/>
      <top style="medium"/>
      <bottom style="thin"/>
      <diagonal/>
    </border>
    <border diagonalUp="false" diagonalDown="false">
      <left style="medium"/>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thin"/>
      <right style="medium"/>
      <top style="thin"/>
      <bottom style="medium"/>
      <diagonal/>
    </border>
    <border diagonalUp="false" diagonalDown="false">
      <left style="thin">
        <color rgb="FF00B0F0"/>
      </left>
      <right/>
      <top style="thin">
        <color rgb="FF00B0F0"/>
      </top>
      <bottom style="thin">
        <color rgb="FF00B0F0"/>
      </bottom>
      <diagonal/>
    </border>
    <border diagonalUp="false" diagonalDown="false">
      <left style="medium"/>
      <right style="thin">
        <color rgb="FF00B0F0"/>
      </right>
      <top style="medium"/>
      <bottom style="thin">
        <color rgb="FF00B0F0"/>
      </bottom>
      <diagonal/>
    </border>
    <border diagonalUp="false" diagonalDown="false">
      <left style="thin">
        <color rgb="FF00B0F0"/>
      </left>
      <right style="thin">
        <color rgb="FF00B0F0"/>
      </right>
      <top style="medium"/>
      <bottom style="thin">
        <color rgb="FF00B0F0"/>
      </bottom>
      <diagonal/>
    </border>
    <border diagonalUp="false" diagonalDown="false">
      <left style="thin">
        <color rgb="FF00B0F0"/>
      </left>
      <right style="medium"/>
      <top style="medium"/>
      <bottom style="thin">
        <color rgb="FF00B0F0"/>
      </bottom>
      <diagonal/>
    </border>
    <border diagonalUp="false" diagonalDown="false">
      <left style="thin"/>
      <right style="thin"/>
      <top/>
      <bottom style="medium"/>
      <diagonal/>
    </border>
    <border diagonalUp="false" diagonalDown="false">
      <left style="thin"/>
      <right style="medium"/>
      <top/>
      <bottom style="medium"/>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thin"/>
      <top style="thin"/>
      <bottom style="double"/>
      <diagonal/>
    </border>
    <border diagonalUp="false" diagonalDown="false">
      <left style="medium"/>
      <right style="thin"/>
      <top style="thin"/>
      <bottom style="double"/>
      <diagonal/>
    </border>
    <border diagonalUp="false" diagonalDown="false">
      <left style="thin"/>
      <right style="medium"/>
      <top style="thin"/>
      <bottom style="double"/>
      <diagonal/>
    </border>
    <border diagonalUp="false" diagonalDown="false">
      <left style="medium"/>
      <right style="thin"/>
      <top/>
      <bottom style="medium"/>
      <diagonal/>
    </border>
    <border diagonalUp="false" diagonalDown="false">
      <left style="medium"/>
      <right/>
      <top/>
      <bottom/>
      <diagonal/>
    </border>
    <border diagonalUp="false" diagonalDown="false">
      <left style="thin"/>
      <right style="thin"/>
      <top/>
      <bottom style="thin"/>
      <diagonal/>
    </border>
    <border diagonalUp="false" diagonalDown="false">
      <left style="thin"/>
      <right style="medium"/>
      <top/>
      <bottom/>
      <diagonal/>
    </border>
    <border diagonalUp="false" diagonalDown="false">
      <left style="medium"/>
      <right style="thin"/>
      <top style="medium"/>
      <bottom style="medium"/>
      <diagonal/>
    </border>
    <border diagonalUp="false" diagonalDown="false">
      <left style="thin"/>
      <right style="thin"/>
      <top style="medium"/>
      <bottom style="medium"/>
      <diagonal/>
    </border>
    <border diagonalUp="false" diagonalDown="false">
      <left style="medium"/>
      <right/>
      <top/>
      <bottom style="medium"/>
      <diagonal/>
    </border>
    <border diagonalUp="false" diagonalDown="false">
      <left/>
      <right/>
      <top/>
      <bottom style="mediu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21">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center" vertical="center" textRotation="0" wrapText="false" indent="0" shrinkToFit="false"/>
      <protection locked="true" hidden="false"/>
    </xf>
    <xf numFmtId="164" fontId="6" fillId="3" borderId="2" xfId="0" applyFont="true" applyBorder="true" applyAlignment="true" applyProtection="false">
      <alignment horizontal="center" vertical="bottom" textRotation="0" wrapText="false" indent="0" shrinkToFit="false"/>
      <protection locked="true" hidden="false"/>
    </xf>
    <xf numFmtId="164" fontId="7" fillId="3" borderId="2" xfId="0" applyFont="true" applyBorder="true" applyAlignment="true" applyProtection="false">
      <alignment horizontal="center" vertical="top" textRotation="0" wrapText="true" indent="0" shrinkToFit="false"/>
      <protection locked="true" hidden="false"/>
    </xf>
    <xf numFmtId="164" fontId="6" fillId="4" borderId="2" xfId="0" applyFont="true" applyBorder="true" applyAlignment="true" applyProtection="false">
      <alignment horizontal="center" vertical="bottom" textRotation="0" wrapText="false" indent="0" shrinkToFit="false"/>
      <protection locked="true" hidden="false"/>
    </xf>
    <xf numFmtId="164" fontId="7" fillId="4" borderId="2" xfId="0" applyFont="true" applyBorder="true" applyAlignment="true" applyProtection="false">
      <alignment horizontal="center" vertical="top" textRotation="0" wrapText="tru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8" fillId="5" borderId="2" xfId="0" applyFont="true" applyBorder="true" applyAlignment="true" applyProtection="false">
      <alignment horizontal="center" vertical="center" textRotation="0" wrapText="true" indent="0" shrinkToFit="false"/>
      <protection locked="true" hidden="false"/>
    </xf>
    <xf numFmtId="164" fontId="6" fillId="3" borderId="3" xfId="0" applyFont="true" applyBorder="true" applyAlignment="true" applyProtection="false">
      <alignment horizontal="center" vertical="center" textRotation="0" wrapText="true" indent="0" shrinkToFit="false"/>
      <protection locked="true" hidden="false"/>
    </xf>
    <xf numFmtId="164" fontId="7" fillId="3" borderId="0" xfId="0" applyFont="true" applyBorder="true" applyAlignment="true" applyProtection="false">
      <alignment horizontal="center" vertical="top" textRotation="0" wrapText="true" indent="0" shrinkToFit="false"/>
      <protection locked="true" hidden="false"/>
    </xf>
    <xf numFmtId="164" fontId="0" fillId="0" borderId="4" xfId="0" applyFont="false" applyBorder="true" applyAlignment="false" applyProtection="false">
      <alignment horizontal="general" vertical="bottom" textRotation="0" wrapText="false" indent="0" shrinkToFit="false"/>
      <protection locked="true" hidden="false"/>
    </xf>
    <xf numFmtId="164" fontId="7" fillId="3" borderId="2" xfId="0" applyFont="true" applyBorder="true" applyAlignment="true" applyProtection="false">
      <alignment horizontal="left" vertical="center" textRotation="0" wrapText="true" indent="0" shrinkToFit="false"/>
      <protection locked="true" hidden="false"/>
    </xf>
    <xf numFmtId="164" fontId="9" fillId="2" borderId="2" xfId="0" applyFont="true" applyBorder="true" applyAlignment="true" applyProtection="false">
      <alignment horizontal="center" vertical="center" textRotation="0" wrapText="false" indent="0" shrinkToFit="false"/>
      <protection locked="true" hidden="false"/>
    </xf>
    <xf numFmtId="164" fontId="10" fillId="5" borderId="2" xfId="0" applyFont="true" applyBorder="true" applyAlignment="true" applyProtection="false">
      <alignment horizontal="center" vertical="center" textRotation="0" wrapText="true" indent="0" shrinkToFit="false"/>
      <protection locked="true" hidden="false"/>
    </xf>
    <xf numFmtId="164" fontId="11" fillId="5" borderId="2" xfId="0" applyFont="true" applyBorder="true" applyAlignment="true" applyProtection="false">
      <alignment horizontal="left" vertical="center" textRotation="0" wrapText="true" indent="0" shrinkToFit="false"/>
      <protection locked="true" hidden="false"/>
    </xf>
    <xf numFmtId="164" fontId="0" fillId="6" borderId="2"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center" vertical="center" textRotation="0" wrapText="false" indent="0" shrinkToFit="false"/>
      <protection locked="true" hidden="false"/>
    </xf>
    <xf numFmtId="164" fontId="10" fillId="7" borderId="2" xfId="0" applyFont="true" applyBorder="true" applyAlignment="true" applyProtection="false">
      <alignment horizontal="center" vertical="center" textRotation="0" wrapText="true" indent="0" shrinkToFit="false"/>
      <protection locked="true" hidden="false"/>
    </xf>
    <xf numFmtId="164" fontId="11" fillId="7" borderId="2" xfId="0" applyFont="true" applyBorder="true" applyAlignment="true" applyProtection="false">
      <alignment horizontal="left" vertical="center" textRotation="0" wrapText="true" indent="0" shrinkToFit="false"/>
      <protection locked="true" hidden="false"/>
    </xf>
    <xf numFmtId="164" fontId="9" fillId="8" borderId="2" xfId="0" applyFont="true" applyBorder="true" applyAlignment="true" applyProtection="false">
      <alignment horizontal="center" vertical="bottom" textRotation="0" wrapText="false" indent="0" shrinkToFit="false"/>
      <protection locked="true" hidden="false"/>
    </xf>
    <xf numFmtId="164" fontId="13" fillId="3" borderId="2" xfId="0" applyFont="true" applyBorder="true" applyAlignment="true" applyProtection="false">
      <alignment horizontal="center" vertical="bottom" textRotation="0" wrapText="false" indent="0" shrinkToFit="false"/>
      <protection locked="true" hidden="false"/>
    </xf>
    <xf numFmtId="164" fontId="14" fillId="3" borderId="2" xfId="0" applyFont="true" applyBorder="tru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center" vertical="bottom" textRotation="0" wrapText="false" indent="0" shrinkToFit="false"/>
      <protection locked="true" hidden="false"/>
    </xf>
    <xf numFmtId="165" fontId="7" fillId="0" borderId="2" xfId="0" applyFont="true" applyBorder="true" applyAlignment="true" applyProtection="false">
      <alignment horizontal="center" vertical="bottom" textRotation="0" wrapText="false" indent="0" shrinkToFit="false"/>
      <protection locked="true" hidden="false"/>
    </xf>
    <xf numFmtId="164" fontId="7" fillId="9" borderId="2" xfId="0" applyFont="tru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10" borderId="5" xfId="0" applyFont="true" applyBorder="true" applyAlignment="true" applyProtection="false">
      <alignment horizontal="center" vertical="center" textRotation="0" wrapText="true" indent="0" shrinkToFit="false"/>
      <protection locked="true" hidden="false"/>
    </xf>
    <xf numFmtId="164" fontId="17" fillId="11" borderId="2" xfId="0" applyFont="true" applyBorder="true" applyAlignment="true" applyProtection="false">
      <alignment horizontal="center" vertical="center" textRotation="0" wrapText="false" indent="0" shrinkToFit="false"/>
      <protection locked="true" hidden="false"/>
    </xf>
    <xf numFmtId="164" fontId="18" fillId="11" borderId="2" xfId="0" applyFont="true" applyBorder="true" applyAlignment="true" applyProtection="false">
      <alignment horizontal="left" vertical="center" textRotation="0" wrapText="true" indent="0" shrinkToFit="false"/>
      <protection locked="true" hidden="false"/>
    </xf>
    <xf numFmtId="164" fontId="17" fillId="6" borderId="2" xfId="0" applyFont="true" applyBorder="true" applyAlignment="true" applyProtection="false">
      <alignment horizontal="center" vertical="center" textRotation="0" wrapText="false" indent="0" shrinkToFit="false"/>
      <protection locked="true" hidden="false"/>
    </xf>
    <xf numFmtId="164" fontId="18" fillId="6" borderId="2" xfId="0" applyFont="true" applyBorder="true" applyAlignment="true" applyProtection="false">
      <alignment horizontal="left" vertical="center" textRotation="0" wrapText="true" indent="0" shrinkToFit="false"/>
      <protection locked="true" hidden="false"/>
    </xf>
    <xf numFmtId="164" fontId="19" fillId="12" borderId="3" xfId="0" applyFont="true" applyBorder="true" applyAlignment="true" applyProtection="false">
      <alignment horizontal="center" vertical="center" textRotation="0" wrapText="false" indent="0" shrinkToFit="false"/>
      <protection locked="true" hidden="false"/>
    </xf>
    <xf numFmtId="164" fontId="13" fillId="12" borderId="3" xfId="0" applyFont="true" applyBorder="tru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20" fillId="2" borderId="6" xfId="0" applyFont="true" applyBorder="true" applyAlignment="true" applyProtection="false">
      <alignment horizontal="center" vertical="center" textRotation="0" wrapText="false" indent="0" shrinkToFit="false"/>
      <protection locked="true" hidden="false"/>
    </xf>
    <xf numFmtId="164" fontId="21" fillId="6" borderId="2" xfId="0" applyFont="true" applyBorder="true" applyAlignment="true" applyProtection="true">
      <alignment horizontal="left" vertical="center" textRotation="0" wrapText="true" indent="0" shrinkToFit="false"/>
      <protection locked="false" hidden="false"/>
    </xf>
    <xf numFmtId="164" fontId="20" fillId="2" borderId="7" xfId="0" applyFont="true" applyBorder="true" applyAlignment="true" applyProtection="false">
      <alignment horizontal="center" vertical="bottom" textRotation="0" wrapText="false" indent="0" shrinkToFit="false"/>
      <protection locked="true" hidden="false"/>
    </xf>
    <xf numFmtId="164" fontId="20" fillId="2" borderId="8" xfId="0" applyFont="true" applyBorder="true" applyAlignment="false" applyProtection="false">
      <alignment horizontal="general" vertical="bottom" textRotation="0" wrapText="false" indent="0" shrinkToFit="false"/>
      <protection locked="true" hidden="false"/>
    </xf>
    <xf numFmtId="164" fontId="20" fillId="2" borderId="8" xfId="0" applyFont="true" applyBorder="true" applyAlignment="true" applyProtection="false">
      <alignment horizontal="center" vertical="center" textRotation="0" wrapText="false" indent="0" shrinkToFit="false"/>
      <protection locked="true" hidden="false"/>
    </xf>
    <xf numFmtId="164" fontId="22" fillId="2" borderId="9" xfId="0" applyFont="tru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left" vertical="center" textRotation="0" wrapText="false" indent="0" shrinkToFit="false"/>
      <protection locked="true" hidden="false"/>
    </xf>
    <xf numFmtId="166" fontId="0" fillId="0" borderId="6" xfId="0" applyFont="true" applyBorder="true" applyAlignment="true" applyProtection="true">
      <alignment horizontal="left" vertical="top" textRotation="0" wrapText="true" indent="0" shrinkToFit="false"/>
      <protection locked="false" hidden="false"/>
    </xf>
    <xf numFmtId="164" fontId="23" fillId="11" borderId="11" xfId="0" applyFont="true" applyBorder="true" applyAlignment="true" applyProtection="false">
      <alignment horizontal="center" vertical="center" textRotation="0" wrapText="false" indent="0" shrinkToFit="false"/>
      <protection locked="true" hidden="false"/>
    </xf>
    <xf numFmtId="164" fontId="0" fillId="0" borderId="10" xfId="0" applyFont="true" applyBorder="true" applyAlignment="true" applyProtection="false">
      <alignment horizontal="general" vertical="center" textRotation="0" wrapText="true" indent="0" shrinkToFit="false"/>
      <protection locked="true" hidden="false"/>
    </xf>
    <xf numFmtId="164" fontId="0" fillId="0" borderId="12" xfId="0" applyFont="true" applyBorder="true" applyAlignment="true" applyProtection="false">
      <alignment horizontal="general" vertical="center" textRotation="0" wrapText="true" indent="0" shrinkToFit="false"/>
      <protection locked="true" hidden="false"/>
    </xf>
    <xf numFmtId="167" fontId="0" fillId="0" borderId="13" xfId="0" applyFont="false" applyBorder="true" applyAlignment="true" applyProtection="true">
      <alignment horizontal="left" vertical="top" textRotation="0" wrapText="true" indent="0" shrinkToFit="false"/>
      <protection locked="false" hidden="false"/>
    </xf>
    <xf numFmtId="164" fontId="23" fillId="11" borderId="14" xfId="0" applyFont="true" applyBorder="true" applyAlignment="true" applyProtection="false">
      <alignment horizontal="center" vertical="center" textRotation="0" wrapText="false" indent="0" shrinkToFit="false"/>
      <protection locked="true" hidden="false"/>
    </xf>
    <xf numFmtId="164" fontId="23" fillId="12" borderId="15" xfId="0" applyFont="true" applyBorder="true" applyAlignment="true" applyProtection="false">
      <alignment horizontal="center" vertical="center" textRotation="0" wrapText="false" indent="0" shrinkToFit="false"/>
      <protection locked="true" hidden="false"/>
    </xf>
    <xf numFmtId="164" fontId="24" fillId="2" borderId="16" xfId="0" applyFont="true" applyBorder="true" applyAlignment="true" applyProtection="false">
      <alignment horizontal="center" vertical="center" textRotation="0" wrapText="true" indent="0" shrinkToFit="false"/>
      <protection locked="true" hidden="false"/>
    </xf>
    <xf numFmtId="164" fontId="24" fillId="2" borderId="17" xfId="0" applyFont="true" applyBorder="true" applyAlignment="true" applyProtection="false">
      <alignment horizontal="center" vertical="center" textRotation="0" wrapText="true" indent="0" shrinkToFit="false"/>
      <protection locked="true" hidden="false"/>
    </xf>
    <xf numFmtId="164" fontId="24" fillId="2" borderId="18" xfId="0" applyFont="true" applyBorder="true" applyAlignment="true" applyProtection="false">
      <alignment horizontal="center" vertical="center" textRotation="0" wrapText="true" indent="0" shrinkToFit="false"/>
      <protection locked="true" hidden="false"/>
    </xf>
    <xf numFmtId="168" fontId="0" fillId="0" borderId="6" xfId="0" applyFont="false" applyBorder="true" applyAlignment="true" applyProtection="true">
      <alignment horizontal="center" vertical="bottom" textRotation="0" wrapText="false" indent="0" shrinkToFit="false"/>
      <protection locked="false" hidden="false"/>
    </xf>
    <xf numFmtId="168" fontId="0" fillId="11" borderId="11" xfId="0" applyFont="false" applyBorder="true" applyAlignment="true" applyProtection="false">
      <alignment horizontal="center"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9" fontId="0" fillId="0" borderId="6" xfId="0" applyFont="false" applyBorder="true" applyAlignment="false" applyProtection="true">
      <alignment horizontal="general" vertical="bottom" textRotation="0" wrapText="false" indent="0" shrinkToFit="false"/>
      <protection locked="false" hidden="false"/>
    </xf>
    <xf numFmtId="169" fontId="0" fillId="11" borderId="11" xfId="0" applyFont="fals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true" applyProtection="false">
      <alignment horizontal="general" vertical="center" textRotation="0" wrapText="false" indent="0" shrinkToFit="false"/>
      <protection locked="true" hidden="false"/>
    </xf>
    <xf numFmtId="164" fontId="0" fillId="0" borderId="12" xfId="0" applyFont="true" applyBorder="true" applyAlignment="false" applyProtection="false">
      <alignment horizontal="general" vertical="bottom" textRotation="0" wrapText="false" indent="0" shrinkToFit="false"/>
      <protection locked="true" hidden="false"/>
    </xf>
    <xf numFmtId="169" fontId="0" fillId="11" borderId="19" xfId="0" applyFont="false" applyBorder="true" applyAlignment="false" applyProtection="false">
      <alignment horizontal="general" vertical="bottom" textRotation="0" wrapText="false" indent="0" shrinkToFit="false"/>
      <protection locked="true" hidden="false"/>
    </xf>
    <xf numFmtId="169" fontId="0" fillId="11" borderId="20" xfId="0" applyFont="false" applyBorder="true" applyAlignment="false" applyProtection="false">
      <alignment horizontal="general" vertical="bottom" textRotation="0" wrapText="false" indent="0" shrinkToFit="false"/>
      <protection locked="true" hidden="false"/>
    </xf>
    <xf numFmtId="164" fontId="23" fillId="12" borderId="2" xfId="0" applyFont="true" applyBorder="true" applyAlignment="true" applyProtection="false">
      <alignment horizontal="center" vertical="center" textRotation="0" wrapText="false" indent="0" shrinkToFit="false"/>
      <protection locked="true" hidden="false"/>
    </xf>
    <xf numFmtId="164" fontId="24" fillId="2" borderId="2" xfId="0" applyFont="true" applyBorder="true" applyAlignment="true" applyProtection="false">
      <alignment horizontal="center" vertical="center" textRotation="0" wrapText="true" indent="0" shrinkToFit="false"/>
      <protection locked="true" hidden="false"/>
    </xf>
    <xf numFmtId="164" fontId="0" fillId="0" borderId="10" xfId="0" applyFont="true" applyBorder="true" applyAlignment="false" applyProtection="false">
      <alignment horizontal="general" vertical="bottom" textRotation="0" wrapText="false" indent="0" shrinkToFit="false"/>
      <protection locked="true" hidden="false"/>
    </xf>
    <xf numFmtId="167" fontId="0" fillId="0" borderId="6" xfId="0" applyFont="false" applyBorder="true" applyAlignment="true" applyProtection="true">
      <alignment horizontal="center" vertical="bottom" textRotation="0" wrapText="false" indent="0" shrinkToFit="false"/>
      <protection locked="false" hidden="false"/>
    </xf>
    <xf numFmtId="167" fontId="0" fillId="11" borderId="11" xfId="0" applyFont="false" applyBorder="true" applyAlignment="true" applyProtection="false">
      <alignment horizontal="center" vertical="bottom" textRotation="0" wrapText="false" indent="0" shrinkToFit="false"/>
      <protection locked="true" hidden="false"/>
    </xf>
    <xf numFmtId="164" fontId="25" fillId="12" borderId="2" xfId="0" applyFont="true" applyBorder="true" applyAlignment="true" applyProtection="false">
      <alignment horizontal="center" vertical="center" textRotation="0" wrapText="false" indent="0" shrinkToFit="false"/>
      <protection locked="true" hidden="false"/>
    </xf>
    <xf numFmtId="164" fontId="0" fillId="0" borderId="10" xfId="0" applyFont="false" applyBorder="true" applyAlignment="true" applyProtection="true">
      <alignment horizontal="general" vertical="bottom" textRotation="0" wrapText="true" indent="0" shrinkToFit="false"/>
      <protection locked="false" hidden="false"/>
    </xf>
    <xf numFmtId="164" fontId="0" fillId="0" borderId="21" xfId="0" applyFont="false" applyBorder="true" applyAlignment="true" applyProtection="true">
      <alignment horizontal="general" vertical="bottom" textRotation="0" wrapText="true" indent="0" shrinkToFit="false"/>
      <protection locked="false" hidden="false"/>
    </xf>
    <xf numFmtId="169" fontId="0" fillId="0" borderId="22" xfId="0" applyFont="false" applyBorder="true" applyAlignment="false" applyProtection="true">
      <alignment horizontal="general" vertical="bottom" textRotation="0" wrapText="false" indent="0" shrinkToFit="false"/>
      <protection locked="false" hidden="false"/>
    </xf>
    <xf numFmtId="169" fontId="0" fillId="0" borderId="23" xfId="0" applyFont="false" applyBorder="true" applyAlignment="false" applyProtection="true">
      <alignment horizontal="general" vertical="bottom" textRotation="0" wrapText="false" indent="0" shrinkToFit="false"/>
      <protection locked="false" hidden="false"/>
    </xf>
    <xf numFmtId="169" fontId="0" fillId="11" borderId="14" xfId="0" applyFont="false" applyBorder="true" applyAlignment="false" applyProtection="false">
      <alignment horizontal="general" vertical="bottom" textRotation="0" wrapText="false" indent="0" shrinkToFit="false"/>
      <protection locked="true" hidden="false"/>
    </xf>
    <xf numFmtId="164" fontId="0" fillId="0" borderId="10" xfId="0" applyFont="true" applyBorder="true" applyAlignment="true" applyProtection="true">
      <alignment horizontal="general" vertical="bottom" textRotation="0" wrapText="true" indent="0" shrinkToFit="false"/>
      <protection locked="false" hidden="false"/>
    </xf>
    <xf numFmtId="164" fontId="0" fillId="0" borderId="21" xfId="0" applyFont="true" applyBorder="true" applyAlignment="true" applyProtection="true">
      <alignment horizontal="general" vertical="bottom" textRotation="0" wrapText="true" indent="0" shrinkToFit="false"/>
      <protection locked="false" hidden="false"/>
    </xf>
    <xf numFmtId="164" fontId="0" fillId="0" borderId="24" xfId="0" applyFont="false" applyBorder="true" applyAlignment="true" applyProtection="true">
      <alignment horizontal="general" vertical="bottom" textRotation="0" wrapText="true" indent="0" shrinkToFit="false"/>
      <protection locked="false" hidden="false"/>
    </xf>
    <xf numFmtId="169" fontId="0" fillId="11"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true" applyBorder="true" applyAlignment="false" applyProtection="false">
      <alignment horizontal="general" vertical="bottom" textRotation="0" wrapText="false" indent="0" shrinkToFit="false"/>
      <protection locked="true" hidden="false"/>
    </xf>
    <xf numFmtId="169" fontId="0" fillId="11" borderId="6" xfId="0" applyFont="false" applyBorder="true" applyAlignment="false" applyProtection="false">
      <alignment horizontal="general" vertical="bottom" textRotation="0" wrapText="false" indent="0" shrinkToFit="false"/>
      <protection locked="true" hidden="false"/>
    </xf>
    <xf numFmtId="169" fontId="0" fillId="11" borderId="23" xfId="0" applyFont="false" applyBorder="true" applyAlignment="false" applyProtection="false">
      <alignment horizontal="general" vertical="bottom" textRotation="0" wrapText="false" indent="0" shrinkToFit="false"/>
      <protection locked="true" hidden="false"/>
    </xf>
    <xf numFmtId="164" fontId="0" fillId="11" borderId="12" xfId="0" applyFont="true" applyBorder="true" applyAlignment="false" applyProtection="false">
      <alignment horizontal="general" vertical="bottom" textRotation="0" wrapText="false" indent="0" shrinkToFit="false"/>
      <protection locked="true" hidden="false"/>
    </xf>
    <xf numFmtId="164" fontId="26" fillId="13" borderId="0" xfId="0" applyFont="true" applyBorder="true" applyAlignment="true" applyProtection="false">
      <alignment horizontal="left" vertical="center" textRotation="0" wrapText="false" indent="0" shrinkToFit="false"/>
      <protection locked="true" hidden="false"/>
    </xf>
    <xf numFmtId="164" fontId="27" fillId="2" borderId="16" xfId="0" applyFont="true" applyBorder="true" applyAlignment="true" applyProtection="false">
      <alignment horizontal="center" vertical="center" textRotation="0" wrapText="true" indent="0" shrinkToFit="false"/>
      <protection locked="true" hidden="false"/>
    </xf>
    <xf numFmtId="164" fontId="27" fillId="2" borderId="17" xfId="0" applyFont="true" applyBorder="true" applyAlignment="true" applyProtection="false">
      <alignment horizontal="center" vertical="center" textRotation="0" wrapText="true" indent="0" shrinkToFit="false"/>
      <protection locked="true" hidden="false"/>
    </xf>
    <xf numFmtId="164" fontId="27" fillId="2" borderId="18" xfId="0" applyFont="true" applyBorder="true" applyAlignment="true" applyProtection="false">
      <alignment horizontal="center" vertical="center" textRotation="0" wrapText="true" indent="0" shrinkToFit="false"/>
      <protection locked="true" hidden="false"/>
    </xf>
    <xf numFmtId="164" fontId="0" fillId="0" borderId="27" xfId="0" applyFont="true" applyBorder="true" applyAlignment="false" applyProtection="false">
      <alignment horizontal="general" vertical="bottom" textRotation="0" wrapText="false" indent="0" shrinkToFit="false"/>
      <protection locked="true" hidden="false"/>
    </xf>
    <xf numFmtId="169" fontId="0" fillId="0" borderId="28" xfId="0" applyFont="false" applyBorder="true" applyAlignment="false" applyProtection="true">
      <alignment horizontal="general" vertical="bottom" textRotation="0" wrapText="false" indent="0" shrinkToFit="false"/>
      <protection locked="false" hidden="false"/>
    </xf>
    <xf numFmtId="169" fontId="0" fillId="11" borderId="29" xfId="0" applyFont="false" applyBorder="true" applyAlignment="false" applyProtection="false">
      <alignment horizontal="general" vertical="bottom" textRotation="0" wrapText="false" indent="0" shrinkToFit="false"/>
      <protection locked="true" hidden="false"/>
    </xf>
    <xf numFmtId="164" fontId="0" fillId="11" borderId="12" xfId="0" applyFont="true" applyBorder="true" applyAlignment="true" applyProtection="false">
      <alignment horizontal="general" vertical="center" textRotation="0" wrapText="true" indent="0" shrinkToFit="false"/>
      <protection locked="true" hidden="false"/>
    </xf>
    <xf numFmtId="164" fontId="29" fillId="0" borderId="5" xfId="0" applyFont="true" applyBorder="true" applyAlignment="true" applyProtection="false">
      <alignment horizontal="center" vertical="center" textRotation="0" wrapText="true" indent="0" shrinkToFit="false"/>
      <protection locked="true" hidden="false"/>
    </xf>
    <xf numFmtId="164" fontId="30" fillId="13" borderId="2" xfId="0" applyFont="true" applyBorder="true" applyAlignment="true" applyProtection="false">
      <alignment horizontal="left" vertical="center" textRotation="0" wrapText="true" indent="0" shrinkToFit="false"/>
      <protection locked="true" hidden="false"/>
    </xf>
    <xf numFmtId="164" fontId="30" fillId="0" borderId="0" xfId="0" applyFont="true" applyBorder="false" applyAlignment="true" applyProtection="false">
      <alignment horizontal="left" vertical="center" textRotation="0" wrapText="true" indent="0" shrinkToFit="false"/>
      <protection locked="true" hidden="false"/>
    </xf>
    <xf numFmtId="164" fontId="20" fillId="2" borderId="7" xfId="0" applyFont="true" applyBorder="true" applyAlignment="false" applyProtection="false">
      <alignment horizontal="general" vertical="bottom" textRotation="0" wrapText="false" indent="0" shrinkToFit="false"/>
      <protection locked="true" hidden="false"/>
    </xf>
    <xf numFmtId="164" fontId="15" fillId="11" borderId="26" xfId="0" applyFont="true" applyBorder="true" applyAlignment="true" applyProtection="false">
      <alignment horizontal="left" vertical="center" textRotation="0" wrapText="false" indent="0" shrinkToFit="false"/>
      <protection locked="true" hidden="false"/>
    </xf>
    <xf numFmtId="164" fontId="0" fillId="11" borderId="19" xfId="0" applyFont="false" applyBorder="true" applyAlignment="true" applyProtection="false">
      <alignment horizontal="left" vertical="top" textRotation="0" wrapText="true" indent="0" shrinkToFit="false"/>
      <protection locked="true" hidden="false"/>
    </xf>
    <xf numFmtId="164" fontId="0" fillId="11" borderId="20" xfId="0" applyFont="false" applyBorder="true" applyAlignment="false" applyProtection="false">
      <alignment horizontal="general" vertical="bottom" textRotation="0" wrapText="false" indent="0" shrinkToFit="false"/>
      <protection locked="true" hidden="false"/>
    </xf>
    <xf numFmtId="164" fontId="0" fillId="11" borderId="10" xfId="0" applyFont="true" applyBorder="true" applyAlignment="false" applyProtection="false">
      <alignment horizontal="general" vertical="bottom" textRotation="0" wrapText="false" indent="0" shrinkToFit="false"/>
      <protection locked="true" hidden="false"/>
    </xf>
    <xf numFmtId="164" fontId="0" fillId="11" borderId="24" xfId="0" applyFont="true" applyBorder="true" applyAlignment="false" applyProtection="false">
      <alignment horizontal="general" vertical="bottom" textRotation="0" wrapText="false" indent="0" shrinkToFit="false"/>
      <protection locked="true" hidden="false"/>
    </xf>
    <xf numFmtId="164" fontId="15" fillId="11" borderId="26" xfId="0" applyFont="true" applyBorder="true" applyAlignment="false" applyProtection="false">
      <alignment horizontal="general" vertical="bottom" textRotation="0" wrapText="false" indent="0" shrinkToFit="false"/>
      <protection locked="true" hidden="false"/>
    </xf>
    <xf numFmtId="169" fontId="15" fillId="11" borderId="19" xfId="0" applyFont="true" applyBorder="true" applyAlignment="false" applyProtection="false">
      <alignment horizontal="general" vertical="bottom" textRotation="0" wrapText="false" indent="0" shrinkToFit="false"/>
      <protection locked="true" hidden="false"/>
    </xf>
    <xf numFmtId="169" fontId="15" fillId="11" borderId="20" xfId="0" applyFont="true" applyBorder="true" applyAlignment="false" applyProtection="false">
      <alignment horizontal="general" vertical="bottom" textRotation="0" wrapText="false" indent="0" shrinkToFit="false"/>
      <protection locked="true" hidden="false"/>
    </xf>
    <xf numFmtId="169" fontId="15" fillId="0" borderId="0" xfId="0" applyFont="true" applyBorder="false" applyAlignment="false" applyProtection="false">
      <alignment horizontal="general" vertical="bottom" textRotation="0" wrapText="false" indent="0" shrinkToFit="false"/>
      <protection locked="true" hidden="false"/>
    </xf>
    <xf numFmtId="169" fontId="15" fillId="11" borderId="14"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true" applyProtection="false">
      <alignment horizontal="left" vertical="center" textRotation="0" wrapText="true" indent="0" shrinkToFit="false"/>
      <protection locked="true" hidden="false"/>
    </xf>
    <xf numFmtId="169" fontId="0" fillId="0" borderId="31" xfId="0" applyFont="false" applyBorder="true" applyAlignment="true" applyProtection="false">
      <alignment horizontal="general" vertical="center" textRotation="0" wrapText="false" indent="0" shrinkToFit="false"/>
      <protection locked="true" hidden="false"/>
    </xf>
    <xf numFmtId="164" fontId="31" fillId="14" borderId="2" xfId="0" applyFont="true" applyBorder="true" applyAlignment="true" applyProtection="false">
      <alignment horizontal="general" vertical="center" textRotation="0" wrapText="true" indent="0" shrinkToFit="false"/>
      <protection locked="true" hidden="false"/>
    </xf>
    <xf numFmtId="164" fontId="20" fillId="2" borderId="7" xfId="0" applyFont="true" applyBorder="true" applyAlignment="true" applyProtection="false">
      <alignment horizontal="center" vertical="top" textRotation="0" wrapText="false" indent="0" shrinkToFit="false"/>
      <protection locked="true" hidden="false"/>
    </xf>
    <xf numFmtId="164" fontId="20" fillId="2" borderId="8" xfId="0" applyFont="true" applyBorder="true" applyAlignment="true" applyProtection="false">
      <alignment horizontal="center" vertical="top" textRotation="0" wrapText="false" indent="0" shrinkToFit="false"/>
      <protection locked="true" hidden="false"/>
    </xf>
    <xf numFmtId="164" fontId="20" fillId="2" borderId="8" xfId="0" applyFont="true" applyBorder="true" applyAlignment="true" applyProtection="false">
      <alignment horizontal="general" vertical="top" textRotation="0" wrapText="true" indent="0" shrinkToFit="false"/>
      <protection locked="true" hidden="false"/>
    </xf>
    <xf numFmtId="164" fontId="20" fillId="2" borderId="9" xfId="0" applyFont="true" applyBorder="tru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center" vertical="center" textRotation="0" wrapText="false" indent="0" shrinkToFit="false"/>
      <protection locked="true" hidden="false"/>
    </xf>
    <xf numFmtId="164" fontId="0" fillId="11" borderId="10" xfId="0" applyFont="true" applyBorder="true" applyAlignment="true" applyProtection="false">
      <alignment horizontal="left" vertical="center" textRotation="0" wrapText="false" indent="0" shrinkToFit="false"/>
      <protection locked="true" hidden="false"/>
    </xf>
    <xf numFmtId="166" fontId="0" fillId="11" borderId="6" xfId="0" applyFont="false" applyBorder="true" applyAlignment="true" applyProtection="false">
      <alignment horizontal="left" vertical="center" textRotation="0" wrapText="true" indent="0" shrinkToFit="false"/>
      <protection locked="true" hidden="false"/>
    </xf>
    <xf numFmtId="164" fontId="0" fillId="11" borderId="6" xfId="0" applyFont="false" applyBorder="true" applyAlignment="true" applyProtection="false">
      <alignment horizontal="center" vertical="center" textRotation="0" wrapText="true" indent="0" shrinkToFit="false"/>
      <protection locked="true" hidden="false"/>
    </xf>
    <xf numFmtId="167" fontId="0" fillId="11" borderId="6" xfId="0" applyFont="false" applyBorder="true" applyAlignment="true" applyProtection="false">
      <alignment horizontal="center" vertical="center" textRotation="0" wrapText="true" indent="0" shrinkToFit="false"/>
      <protection locked="true" hidden="false"/>
    </xf>
    <xf numFmtId="169" fontId="0" fillId="11" borderId="11" xfId="0" applyFont="false" applyBorder="true" applyAlignment="true" applyProtection="false">
      <alignment horizontal="general" vertical="center" textRotation="0" wrapText="false" indent="0" shrinkToFit="false"/>
      <protection locked="true" hidden="false"/>
    </xf>
    <xf numFmtId="166" fontId="0" fillId="11" borderId="6" xfId="0" applyFont="false" applyBorder="true" applyAlignment="true" applyProtection="false">
      <alignment horizontal="left" vertical="top" textRotation="0" wrapText="true" indent="0" shrinkToFit="false"/>
      <protection locked="true" hidden="false"/>
    </xf>
    <xf numFmtId="164" fontId="0" fillId="11" borderId="6" xfId="0" applyFont="false" applyBorder="true" applyAlignment="true" applyProtection="false">
      <alignment horizontal="center" vertical="top" textRotation="0" wrapText="true" indent="0" shrinkToFit="false"/>
      <protection locked="true" hidden="false"/>
    </xf>
    <xf numFmtId="167" fontId="0" fillId="11" borderId="6" xfId="0" applyFont="false" applyBorder="true" applyAlignment="true" applyProtection="false">
      <alignment horizontal="center" vertical="top" textRotation="0" wrapText="true" indent="0" shrinkToFit="false"/>
      <protection locked="true" hidden="false"/>
    </xf>
    <xf numFmtId="164" fontId="0" fillId="0" borderId="32" xfId="0" applyFont="false" applyBorder="true" applyAlignment="false" applyProtection="false">
      <alignment horizontal="general" vertical="bottom" textRotation="0" wrapText="false" indent="0" shrinkToFit="false"/>
      <protection locked="true" hidden="false"/>
    </xf>
    <xf numFmtId="164" fontId="15" fillId="0" borderId="33" xfId="0" applyFont="true" applyBorder="true" applyAlignment="false" applyProtection="false">
      <alignment horizontal="general" vertical="bottom" textRotation="0" wrapText="false" indent="0" shrinkToFit="false"/>
      <protection locked="true" hidden="false"/>
    </xf>
    <xf numFmtId="164" fontId="0" fillId="0" borderId="33" xfId="0" applyFont="false" applyBorder="tru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Standaard 3" xfId="20"/>
  </cellStyles>
  <dxfs count="4">
    <dxf>
      <fill>
        <patternFill>
          <bgColor theme="9" tint="0.5999"/>
        </patternFill>
      </fill>
    </dxf>
    <dxf>
      <fill>
        <patternFill>
          <bgColor rgb="FFE2F0D9"/>
        </patternFill>
      </fill>
    </dxf>
    <dxf>
      <fill>
        <patternFill>
          <bgColor rgb="FFFCE4D6"/>
        </patternFill>
      </fill>
    </dxf>
    <dxf>
      <fill>
        <patternFill>
          <bgColor rgb="FFFF0000"/>
        </patternFill>
      </fill>
    </dxf>
  </dxf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6C3D1"/>
      <rgbColor rgb="FF808080"/>
      <rgbColor rgb="FF9999FF"/>
      <rgbColor rgb="FFE6223D"/>
      <rgbColor rgb="FFFFF2CC"/>
      <rgbColor rgb="FFDDEBF7"/>
      <rgbColor rgb="FF660066"/>
      <rgbColor rgb="FFF18B81"/>
      <rgbColor rgb="FF0066CC"/>
      <rgbColor rgb="FFC5E0B4"/>
      <rgbColor rgb="FF000080"/>
      <rgbColor rgb="FFFF00FF"/>
      <rgbColor rgb="FFFFFF00"/>
      <rgbColor rgb="FF00FFFF"/>
      <rgbColor rgb="FF800080"/>
      <rgbColor rgb="FFEB002F"/>
      <rgbColor rgb="FF008080"/>
      <rgbColor rgb="FF0000FF"/>
      <rgbColor rgb="FF00B0F0"/>
      <rgbColor rgb="FFEAEFF3"/>
      <rgbColor rgb="FFE2F0D9"/>
      <rgbColor rgb="FFFCE4D6"/>
      <rgbColor rgb="FF99CCFF"/>
      <rgbColor rgb="FFFBDCD5"/>
      <rgbColor rgb="FFCC99FF"/>
      <rgbColor rgb="FFF7B5AB"/>
      <rgbColor rgb="FF3366FF"/>
      <rgbColor rgb="FF33CCCC"/>
      <rgbColor rgb="FF99CC00"/>
      <rgbColor rgb="FFFFC0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8</xdr:col>
      <xdr:colOff>133200</xdr:colOff>
      <xdr:row>0</xdr:row>
      <xdr:rowOff>63360</xdr:rowOff>
    </xdr:from>
    <xdr:to>
      <xdr:col>12</xdr:col>
      <xdr:colOff>276120</xdr:colOff>
      <xdr:row>6</xdr:row>
      <xdr:rowOff>15480</xdr:rowOff>
    </xdr:to>
    <xdr:pic>
      <xdr:nvPicPr>
        <xdr:cNvPr id="1" name="Afbeelding 1"/>
        <xdr:cNvPicPr/>
      </xdr:nvPicPr>
      <xdr:blipFill>
        <a:blip r:embed="rId1"/>
        <a:stretch/>
      </xdr:blipFill>
      <xdr:spPr>
        <a:xfrm>
          <a:off x="10202400" y="63360"/>
          <a:ext cx="2188800" cy="160956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H4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E46" activeCellId="0" sqref="E46"/>
    </sheetView>
  </sheetViews>
  <sheetFormatPr defaultColWidth="8.6796875" defaultRowHeight="15" customHeight="false" zeroHeight="false" outlineLevelRow="0" outlineLevelCol="0"/>
  <cols>
    <col collapsed="false" customWidth="true" hidden="false" outlineLevel="0" max="1" min="1" style="0" width="3"/>
    <col collapsed="false" customWidth="true" hidden="false" outlineLevel="0" max="2" min="2" style="0" width="7.86"/>
    <col collapsed="false" customWidth="true" hidden="false" outlineLevel="0" max="3" min="3" style="0" width="26"/>
    <col collapsed="false" customWidth="true" hidden="false" outlineLevel="0" max="7" min="4" style="0" width="22"/>
    <col collapsed="false" customWidth="true" hidden="false" outlineLevel="0" max="8" min="8" style="0" width="18"/>
    <col collapsed="false" customWidth="true" hidden="false" outlineLevel="0" max="9" min="9" style="0" width="3"/>
    <col collapsed="false" customWidth="true" hidden="false" outlineLevel="0" max="13" min="13" style="0" width="9.14"/>
  </cols>
  <sheetData>
    <row r="1" customFormat="false" ht="21.75" hidden="false" customHeight="true" outlineLevel="0" collapsed="false">
      <c r="B1" s="1" t="s">
        <v>0</v>
      </c>
      <c r="C1" s="1"/>
      <c r="D1" s="1"/>
      <c r="E1" s="1"/>
      <c r="F1" s="1"/>
      <c r="G1" s="1"/>
      <c r="H1" s="1"/>
    </row>
    <row r="2" customFormat="false" ht="21.75" hidden="false" customHeight="true" outlineLevel="0" collapsed="false">
      <c r="B2" s="1"/>
      <c r="C2" s="1"/>
      <c r="D2" s="1"/>
      <c r="E2" s="1"/>
      <c r="F2" s="1"/>
      <c r="G2" s="1"/>
      <c r="H2" s="1"/>
    </row>
    <row r="3" customFormat="false" ht="21.75" hidden="false" customHeight="true" outlineLevel="0" collapsed="false"/>
    <row r="4" customFormat="false" ht="21.75" hidden="false" customHeight="true" outlineLevel="0" collapsed="false">
      <c r="B4" s="2" t="s">
        <v>1</v>
      </c>
      <c r="C4" s="2"/>
      <c r="D4" s="2"/>
      <c r="E4" s="2"/>
      <c r="F4" s="2"/>
      <c r="G4" s="2"/>
      <c r="H4" s="2"/>
    </row>
    <row r="5" customFormat="false" ht="21.75" hidden="false" customHeight="true" outlineLevel="0" collapsed="false">
      <c r="B5" s="3" t="s">
        <v>2</v>
      </c>
      <c r="C5" s="3"/>
      <c r="D5" s="3"/>
      <c r="E5" s="3"/>
      <c r="F5" s="3"/>
      <c r="G5" s="3"/>
      <c r="H5" s="3"/>
    </row>
    <row r="6" customFormat="false" ht="21.75" hidden="false" customHeight="true" outlineLevel="0" collapsed="false">
      <c r="B6" s="3"/>
      <c r="C6" s="3"/>
      <c r="D6" s="3"/>
      <c r="E6" s="3"/>
      <c r="F6" s="3"/>
      <c r="G6" s="3"/>
      <c r="H6" s="3"/>
    </row>
    <row r="7" customFormat="false" ht="21.75" hidden="false" customHeight="true" outlineLevel="0" collapsed="false">
      <c r="B7" s="3"/>
      <c r="C7" s="3"/>
      <c r="D7" s="3"/>
      <c r="E7" s="3"/>
      <c r="F7" s="3"/>
      <c r="G7" s="3"/>
      <c r="H7" s="3"/>
    </row>
    <row r="8" customFormat="false" ht="21.75" hidden="false" customHeight="true" outlineLevel="0" collapsed="false"/>
    <row r="9" customFormat="false" ht="21.75" hidden="false" customHeight="true" outlineLevel="0" collapsed="false">
      <c r="B9" s="4" t="s">
        <v>3</v>
      </c>
      <c r="C9" s="4"/>
      <c r="D9" s="4"/>
      <c r="E9" s="4"/>
      <c r="F9" s="4"/>
      <c r="G9" s="4"/>
      <c r="H9" s="4"/>
    </row>
    <row r="10" customFormat="false" ht="21.75" hidden="false" customHeight="true" outlineLevel="0" collapsed="false">
      <c r="B10" s="5" t="s">
        <v>4</v>
      </c>
      <c r="C10" s="5"/>
      <c r="D10" s="5"/>
      <c r="E10" s="5"/>
      <c r="F10" s="5"/>
      <c r="G10" s="5"/>
      <c r="H10" s="5"/>
    </row>
    <row r="11" customFormat="false" ht="21.75" hidden="false" customHeight="true" outlineLevel="0" collapsed="false">
      <c r="B11" s="5"/>
      <c r="C11" s="5"/>
      <c r="D11" s="5"/>
      <c r="E11" s="5"/>
      <c r="F11" s="5"/>
      <c r="G11" s="5"/>
      <c r="H11" s="5"/>
    </row>
    <row r="12" customFormat="false" ht="21.75" hidden="false" customHeight="true" outlineLevel="0" collapsed="false">
      <c r="B12" s="5"/>
      <c r="C12" s="5"/>
      <c r="D12" s="5"/>
      <c r="E12" s="5"/>
      <c r="F12" s="5"/>
      <c r="G12" s="5"/>
      <c r="H12" s="5"/>
    </row>
    <row r="13" customFormat="false" ht="21.75" hidden="false" customHeight="true" outlineLevel="0" collapsed="false">
      <c r="B13" s="6"/>
      <c r="C13" s="6"/>
      <c r="D13" s="6"/>
      <c r="E13" s="6"/>
      <c r="F13" s="6"/>
      <c r="G13" s="6"/>
      <c r="H13" s="6"/>
    </row>
    <row r="14" customFormat="false" ht="21.75" hidden="false" customHeight="true" outlineLevel="0" collapsed="false">
      <c r="B14" s="7" t="s">
        <v>5</v>
      </c>
      <c r="C14" s="7"/>
      <c r="D14" s="7"/>
      <c r="E14" s="7"/>
      <c r="F14" s="7"/>
      <c r="G14" s="7"/>
      <c r="H14" s="7"/>
    </row>
    <row r="15" customFormat="false" ht="21.75" hidden="false" customHeight="true" outlineLevel="0" collapsed="false">
      <c r="B15" s="7"/>
      <c r="C15" s="7"/>
      <c r="D15" s="7"/>
      <c r="E15" s="7"/>
      <c r="F15" s="7"/>
      <c r="G15" s="7"/>
      <c r="H15" s="7"/>
    </row>
    <row r="16" customFormat="false" ht="21.75" hidden="false" customHeight="true" outlineLevel="0" collapsed="false"/>
    <row r="17" customFormat="false" ht="24" hidden="false" customHeight="true" outlineLevel="0" collapsed="false">
      <c r="B17" s="8" t="s">
        <v>6</v>
      </c>
      <c r="C17" s="8"/>
      <c r="D17" s="8"/>
      <c r="E17" s="8"/>
      <c r="F17" s="8"/>
      <c r="G17" s="8"/>
      <c r="H17" s="8"/>
    </row>
    <row r="18" customFormat="false" ht="22.5" hidden="false" customHeight="true" outlineLevel="0" collapsed="false">
      <c r="B18" s="9" t="s">
        <v>7</v>
      </c>
      <c r="C18" s="9"/>
      <c r="D18" s="9"/>
      <c r="E18" s="9"/>
      <c r="F18" s="9"/>
      <c r="G18" s="9"/>
      <c r="H18" s="9"/>
    </row>
    <row r="19" customFormat="false" ht="22.5" hidden="false" customHeight="true" outlineLevel="0" collapsed="false">
      <c r="B19" s="9"/>
      <c r="C19" s="9"/>
      <c r="D19" s="9"/>
      <c r="E19" s="9"/>
      <c r="F19" s="9"/>
      <c r="G19" s="9"/>
      <c r="H19" s="9"/>
    </row>
    <row r="20" customFormat="false" ht="22.5" hidden="false" customHeight="true" outlineLevel="0" collapsed="false">
      <c r="B20" s="9"/>
      <c r="C20" s="9"/>
      <c r="D20" s="9"/>
      <c r="E20" s="9"/>
      <c r="F20" s="9"/>
      <c r="G20" s="9"/>
      <c r="H20" s="9"/>
    </row>
    <row r="21" customFormat="false" ht="22.5" hidden="false" customHeight="true" outlineLevel="0" collapsed="false">
      <c r="B21" s="9"/>
      <c r="C21" s="9"/>
      <c r="D21" s="9"/>
      <c r="E21" s="9"/>
      <c r="F21" s="9"/>
      <c r="G21" s="9"/>
      <c r="H21" s="9"/>
    </row>
    <row r="22" customFormat="false" ht="22.5" hidden="false" customHeight="true" outlineLevel="0" collapsed="false">
      <c r="B22" s="10"/>
      <c r="C22" s="10"/>
      <c r="D22" s="10"/>
      <c r="E22" s="10"/>
      <c r="F22" s="10"/>
      <c r="G22" s="10"/>
      <c r="H22" s="10"/>
    </row>
    <row r="23" customFormat="false" ht="7.5" hidden="false" customHeight="true" outlineLevel="0" collapsed="false">
      <c r="B23" s="11"/>
      <c r="C23" s="11"/>
      <c r="D23" s="11"/>
      <c r="E23" s="11"/>
      <c r="F23" s="11"/>
      <c r="G23" s="11"/>
      <c r="H23" s="11"/>
    </row>
    <row r="24" customFormat="false" ht="21.75" hidden="false" customHeight="true" outlineLevel="0" collapsed="false">
      <c r="B24" s="12" t="s">
        <v>8</v>
      </c>
      <c r="C24" s="12"/>
      <c r="D24" s="12"/>
      <c r="E24" s="12"/>
      <c r="F24" s="12"/>
      <c r="G24" s="12"/>
      <c r="H24" s="12"/>
    </row>
    <row r="25" customFormat="false" ht="25.5" hidden="false" customHeight="true" outlineLevel="0" collapsed="false">
      <c r="B25" s="13" t="s">
        <v>9</v>
      </c>
      <c r="C25" s="14" t="s">
        <v>10</v>
      </c>
      <c r="D25" s="14"/>
      <c r="E25" s="14"/>
      <c r="F25" s="14"/>
      <c r="G25" s="14"/>
      <c r="H25" s="14"/>
    </row>
    <row r="26" customFormat="false" ht="42" hidden="false" customHeight="true" outlineLevel="0" collapsed="false">
      <c r="B26" s="13"/>
      <c r="C26" s="15" t="s">
        <v>11</v>
      </c>
      <c r="D26" s="15"/>
      <c r="E26" s="15"/>
      <c r="F26" s="15"/>
      <c r="G26" s="15"/>
      <c r="H26" s="15"/>
    </row>
    <row r="27" customFormat="false" ht="18" hidden="false" customHeight="true" outlineLevel="0" collapsed="false">
      <c r="B27" s="16" t="s">
        <v>12</v>
      </c>
      <c r="C27" s="16"/>
      <c r="D27" s="16"/>
      <c r="E27" s="16"/>
      <c r="F27" s="16"/>
      <c r="G27" s="16"/>
      <c r="H27" s="16"/>
    </row>
    <row r="28" customFormat="false" ht="21.75" hidden="false" customHeight="true" outlineLevel="0" collapsed="false"/>
    <row r="29" customFormat="false" ht="25.5" hidden="false" customHeight="true" outlineLevel="0" collapsed="false">
      <c r="B29" s="13" t="s">
        <v>13</v>
      </c>
      <c r="C29" s="14" t="s">
        <v>14</v>
      </c>
      <c r="D29" s="14"/>
      <c r="E29" s="14"/>
      <c r="F29" s="14"/>
      <c r="G29" s="14"/>
      <c r="H29" s="14"/>
    </row>
    <row r="30" customFormat="false" ht="42" hidden="false" customHeight="true" outlineLevel="0" collapsed="false">
      <c r="B30" s="13"/>
      <c r="C30" s="15" t="s">
        <v>15</v>
      </c>
      <c r="D30" s="15"/>
      <c r="E30" s="15"/>
      <c r="F30" s="15"/>
      <c r="G30" s="15"/>
      <c r="H30" s="15"/>
    </row>
    <row r="31" customFormat="false" ht="21.75" hidden="false" customHeight="true" outlineLevel="0" collapsed="false">
      <c r="B31" s="16" t="s">
        <v>12</v>
      </c>
      <c r="C31" s="16"/>
      <c r="D31" s="16"/>
      <c r="E31" s="16"/>
      <c r="F31" s="16"/>
      <c r="G31" s="16"/>
      <c r="H31" s="16"/>
    </row>
    <row r="32" customFormat="false" ht="21.75" hidden="false" customHeight="true" outlineLevel="0" collapsed="false"/>
    <row r="33" customFormat="false" ht="21.75" hidden="false" customHeight="true" outlineLevel="0" collapsed="false">
      <c r="B33" s="13" t="s">
        <v>16</v>
      </c>
      <c r="C33" s="14" t="s">
        <v>17</v>
      </c>
      <c r="D33" s="14"/>
      <c r="E33" s="14"/>
      <c r="F33" s="14"/>
      <c r="G33" s="14"/>
      <c r="H33" s="14"/>
    </row>
    <row r="34" customFormat="false" ht="21.75" hidden="false" customHeight="true" outlineLevel="0" collapsed="false">
      <c r="B34" s="13"/>
      <c r="C34" s="15" t="s">
        <v>18</v>
      </c>
      <c r="D34" s="15"/>
      <c r="E34" s="15"/>
      <c r="F34" s="15"/>
      <c r="G34" s="15"/>
      <c r="H34" s="15"/>
    </row>
    <row r="35" customFormat="false" ht="21.75" hidden="false" customHeight="true" outlineLevel="0" collapsed="false">
      <c r="B35" s="16" t="s">
        <v>12</v>
      </c>
      <c r="C35" s="16"/>
      <c r="D35" s="16"/>
      <c r="E35" s="16"/>
      <c r="F35" s="16"/>
      <c r="G35" s="16"/>
      <c r="H35" s="16"/>
    </row>
    <row r="36" customFormat="false" ht="21.75" hidden="false" customHeight="true" outlineLevel="0" collapsed="false"/>
    <row r="37" customFormat="false" ht="21.75" hidden="false" customHeight="true" outlineLevel="0" collapsed="false">
      <c r="B37" s="13" t="s">
        <v>19</v>
      </c>
      <c r="C37" s="14" t="s">
        <v>20</v>
      </c>
      <c r="D37" s="14"/>
      <c r="E37" s="14"/>
      <c r="F37" s="14"/>
      <c r="G37" s="14"/>
      <c r="H37" s="14"/>
    </row>
    <row r="38" customFormat="false" ht="29.25" hidden="false" customHeight="true" outlineLevel="0" collapsed="false">
      <c r="B38" s="13"/>
      <c r="C38" s="15" t="s">
        <v>21</v>
      </c>
      <c r="D38" s="15"/>
      <c r="E38" s="15"/>
      <c r="F38" s="15"/>
      <c r="G38" s="15"/>
      <c r="H38" s="15"/>
    </row>
    <row r="39" customFormat="false" ht="21.75" hidden="false" customHeight="true" outlineLevel="0" collapsed="false">
      <c r="B39" s="16" t="s">
        <v>12</v>
      </c>
      <c r="C39" s="16"/>
      <c r="D39" s="16"/>
      <c r="E39" s="16"/>
      <c r="F39" s="16"/>
      <c r="G39" s="16"/>
      <c r="H39" s="16"/>
    </row>
    <row r="40" customFormat="false" ht="21.75" hidden="false" customHeight="true" outlineLevel="0" collapsed="false"/>
    <row r="41" customFormat="false" ht="21.75" hidden="false" customHeight="true" outlineLevel="0" collapsed="false">
      <c r="B41" s="17" t="s">
        <v>22</v>
      </c>
      <c r="C41" s="18" t="s">
        <v>23</v>
      </c>
      <c r="D41" s="18"/>
      <c r="E41" s="18"/>
      <c r="F41" s="18"/>
      <c r="G41" s="18"/>
      <c r="H41" s="18"/>
    </row>
    <row r="42" customFormat="false" ht="21.75" hidden="false" customHeight="true" outlineLevel="0" collapsed="false">
      <c r="B42" s="17"/>
      <c r="C42" s="15" t="s">
        <v>24</v>
      </c>
      <c r="D42" s="15"/>
      <c r="E42" s="15"/>
      <c r="F42" s="15"/>
      <c r="G42" s="15"/>
      <c r="H42" s="15"/>
    </row>
    <row r="43" customFormat="false" ht="21.75" hidden="false" customHeight="true" outlineLevel="0" collapsed="false"/>
    <row r="44" customFormat="false" ht="21.75" hidden="false" customHeight="true" outlineLevel="0" collapsed="false">
      <c r="B44" s="19" t="s">
        <v>25</v>
      </c>
      <c r="C44" s="19"/>
      <c r="D44" s="19"/>
      <c r="E44" s="19"/>
      <c r="F44" s="19"/>
      <c r="G44" s="19"/>
      <c r="H44" s="19"/>
    </row>
    <row r="45" customFormat="false" ht="21.75" hidden="false" customHeight="true" outlineLevel="0" collapsed="false">
      <c r="B45" s="20" t="s">
        <v>26</v>
      </c>
      <c r="C45" s="21" t="s">
        <v>27</v>
      </c>
      <c r="D45" s="20" t="s">
        <v>28</v>
      </c>
      <c r="E45" s="20" t="s">
        <v>29</v>
      </c>
    </row>
    <row r="46" customFormat="false" ht="15" hidden="false" customHeight="false" outlineLevel="0" collapsed="false">
      <c r="B46" s="22" t="s">
        <v>30</v>
      </c>
      <c r="C46" s="23" t="n">
        <v>2500</v>
      </c>
      <c r="D46" s="23" t="n">
        <v>2500</v>
      </c>
      <c r="E46" s="24" t="s">
        <v>31</v>
      </c>
    </row>
  </sheetData>
  <sheetProtection algorithmName="SHA-512" hashValue="X26M4pDUupw0nwAYdTyDBZBmkAkQ8E0+gcrjdu+SbhynCPI89C6PjUvZpuyow5MLh+XqBM8CkR8hcPj6wizSqw==" saltValue="4E40N8vjZNgmov+HWQWeog==" spinCount="100000" sheet="true" objects="true" scenarios="true"/>
  <mergeCells count="30">
    <mergeCell ref="B1:H2"/>
    <mergeCell ref="B4:H4"/>
    <mergeCell ref="B5:H7"/>
    <mergeCell ref="B9:H9"/>
    <mergeCell ref="B10:H12"/>
    <mergeCell ref="B14:H15"/>
    <mergeCell ref="B17:H17"/>
    <mergeCell ref="B18:H21"/>
    <mergeCell ref="B22:H22"/>
    <mergeCell ref="B24:H24"/>
    <mergeCell ref="B25:B26"/>
    <mergeCell ref="C25:H25"/>
    <mergeCell ref="C26:H26"/>
    <mergeCell ref="B27:H27"/>
    <mergeCell ref="B29:B30"/>
    <mergeCell ref="C29:H29"/>
    <mergeCell ref="C30:H30"/>
    <mergeCell ref="B31:H31"/>
    <mergeCell ref="B33:B34"/>
    <mergeCell ref="C33:H33"/>
    <mergeCell ref="C34:H34"/>
    <mergeCell ref="B35:H35"/>
    <mergeCell ref="B37:B38"/>
    <mergeCell ref="C37:H37"/>
    <mergeCell ref="C38:H38"/>
    <mergeCell ref="B39:H39"/>
    <mergeCell ref="B41:B42"/>
    <mergeCell ref="C41:H41"/>
    <mergeCell ref="C42:H42"/>
    <mergeCell ref="B44:H4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10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B16" activeCellId="0" sqref="B16"/>
    </sheetView>
  </sheetViews>
  <sheetFormatPr defaultColWidth="8.6796875" defaultRowHeight="15" customHeight="false" zeroHeight="false" outlineLevelRow="0" outlineLevelCol="0"/>
  <cols>
    <col collapsed="false" customWidth="true" hidden="false" outlineLevel="0" max="1" min="1" style="0" width="4.42"/>
    <col collapsed="false" customWidth="true" hidden="false" outlineLevel="0" max="2" min="2" style="0" width="51.15"/>
    <col collapsed="false" customWidth="true" hidden="false" outlineLevel="0" max="11" min="3" style="0" width="15.71"/>
    <col collapsed="false" customWidth="true" hidden="false" outlineLevel="0" max="12" min="12" style="0" width="8.86"/>
  </cols>
  <sheetData>
    <row r="1" s="25" customFormat="true" ht="29.25" hidden="false" customHeight="true" outlineLevel="0" collapsed="false">
      <c r="B1" s="26" t="s">
        <v>32</v>
      </c>
      <c r="C1" s="26"/>
      <c r="D1" s="26"/>
      <c r="E1" s="26"/>
      <c r="F1" s="26"/>
      <c r="G1" s="26"/>
      <c r="H1" s="26"/>
      <c r="I1" s="26"/>
      <c r="J1" s="26"/>
      <c r="K1" s="26"/>
    </row>
    <row r="2" customFormat="false" ht="24" hidden="false" customHeight="true" outlineLevel="0" collapsed="false">
      <c r="B2" s="27"/>
      <c r="C2" s="28" t="s">
        <v>33</v>
      </c>
      <c r="D2" s="28"/>
      <c r="E2" s="28"/>
      <c r="F2" s="28"/>
      <c r="G2" s="28"/>
      <c r="H2" s="28"/>
      <c r="I2" s="28"/>
      <c r="J2" s="28"/>
      <c r="K2" s="28"/>
    </row>
    <row r="3" customFormat="false" ht="24" hidden="false" customHeight="true" outlineLevel="0" collapsed="false">
      <c r="B3" s="29"/>
      <c r="C3" s="30" t="s">
        <v>34</v>
      </c>
      <c r="D3" s="30"/>
      <c r="E3" s="30"/>
      <c r="F3" s="30"/>
      <c r="G3" s="30"/>
      <c r="H3" s="30"/>
      <c r="I3" s="30"/>
      <c r="J3" s="30"/>
      <c r="K3" s="30"/>
    </row>
    <row r="4" customFormat="false" ht="24" hidden="false" customHeight="true" outlineLevel="0" collapsed="false">
      <c r="B4" s="31" t="s">
        <v>35</v>
      </c>
      <c r="C4" s="32" t="s">
        <v>36</v>
      </c>
      <c r="D4" s="32"/>
      <c r="E4" s="32"/>
      <c r="F4" s="32"/>
      <c r="G4" s="32"/>
      <c r="H4" s="32"/>
      <c r="I4" s="32"/>
      <c r="J4" s="32"/>
      <c r="K4" s="32"/>
    </row>
    <row r="5" customFormat="false" ht="24" hidden="false" customHeight="true" outlineLevel="0" collapsed="false">
      <c r="B5" s="33"/>
      <c r="C5" s="34"/>
    </row>
    <row r="6" customFormat="false" ht="24" hidden="false" customHeight="true" outlineLevel="0" collapsed="false">
      <c r="B6" s="35" t="s">
        <v>37</v>
      </c>
      <c r="C6" s="36" t="s">
        <v>38</v>
      </c>
      <c r="D6" s="36"/>
      <c r="E6" s="36"/>
      <c r="F6" s="36"/>
      <c r="G6" s="36"/>
      <c r="H6" s="36"/>
      <c r="I6" s="36"/>
      <c r="J6" s="36"/>
      <c r="K6" s="36"/>
    </row>
    <row r="7" customFormat="false" ht="24" hidden="false" customHeight="true" outlineLevel="0" collapsed="false">
      <c r="B7" s="35" t="s">
        <v>39</v>
      </c>
      <c r="C7" s="36" t="s">
        <v>40</v>
      </c>
      <c r="D7" s="36"/>
      <c r="E7" s="36"/>
      <c r="F7" s="36"/>
      <c r="G7" s="36"/>
      <c r="H7" s="36"/>
      <c r="I7" s="36"/>
      <c r="J7" s="36"/>
      <c r="K7" s="36"/>
    </row>
    <row r="8" customFormat="false" ht="24" hidden="false" customHeight="true" outlineLevel="0" collapsed="false">
      <c r="B8" s="33"/>
      <c r="C8" s="34"/>
    </row>
    <row r="9" customFormat="false" ht="15" hidden="false" customHeight="true" outlineLevel="0" collapsed="false">
      <c r="B9" s="37" t="s">
        <v>41</v>
      </c>
      <c r="C9" s="38" t="s">
        <v>42</v>
      </c>
      <c r="D9" s="39" t="s">
        <v>43</v>
      </c>
      <c r="E9" s="39" t="s">
        <v>44</v>
      </c>
      <c r="F9" s="39" t="s">
        <v>45</v>
      </c>
      <c r="G9" s="39" t="s">
        <v>46</v>
      </c>
      <c r="H9" s="39" t="s">
        <v>47</v>
      </c>
      <c r="I9" s="39" t="s">
        <v>48</v>
      </c>
      <c r="J9" s="39" t="s">
        <v>49</v>
      </c>
      <c r="K9" s="40"/>
    </row>
    <row r="10" customFormat="false" ht="63.75" hidden="false" customHeight="true" outlineLevel="0" collapsed="false">
      <c r="B10" s="41" t="s">
        <v>50</v>
      </c>
      <c r="C10" s="42" t="s">
        <v>51</v>
      </c>
      <c r="D10" s="42" t="s">
        <v>52</v>
      </c>
      <c r="E10" s="42" t="s">
        <v>53</v>
      </c>
      <c r="F10" s="42" t="s">
        <v>54</v>
      </c>
      <c r="G10" s="42"/>
      <c r="H10" s="42"/>
      <c r="I10" s="42"/>
      <c r="J10" s="42"/>
      <c r="K10" s="43"/>
    </row>
    <row r="11" customFormat="false" ht="27.75" hidden="false" customHeight="true" outlineLevel="0" collapsed="false">
      <c r="B11" s="44" t="s">
        <v>55</v>
      </c>
      <c r="C11" s="42" t="s">
        <v>56</v>
      </c>
      <c r="D11" s="42" t="s">
        <v>57</v>
      </c>
      <c r="E11" s="42" t="s">
        <v>58</v>
      </c>
      <c r="F11" s="42" t="s">
        <v>59</v>
      </c>
      <c r="G11" s="42"/>
      <c r="H11" s="42"/>
      <c r="I11" s="42"/>
      <c r="J11" s="42"/>
      <c r="K11" s="43"/>
    </row>
    <row r="12" customFormat="false" ht="26.25" hidden="false" customHeight="true" outlineLevel="0" collapsed="false">
      <c r="B12" s="45" t="s">
        <v>60</v>
      </c>
      <c r="C12" s="46" t="n">
        <v>10</v>
      </c>
      <c r="D12" s="46" t="n">
        <v>10</v>
      </c>
      <c r="E12" s="46" t="n">
        <v>10</v>
      </c>
      <c r="F12" s="46" t="n">
        <v>10</v>
      </c>
      <c r="G12" s="46"/>
      <c r="H12" s="46"/>
      <c r="I12" s="46"/>
      <c r="J12" s="46"/>
      <c r="K12" s="47"/>
    </row>
    <row r="13" customFormat="false" ht="15.75" hidden="false" customHeight="true" outlineLevel="0" collapsed="false"/>
    <row r="14" customFormat="false" ht="30.75" hidden="false" customHeight="true" outlineLevel="0" collapsed="false">
      <c r="A14" s="48" t="s">
        <v>61</v>
      </c>
      <c r="B14" s="49" t="s">
        <v>62</v>
      </c>
      <c r="C14" s="50" t="s">
        <v>42</v>
      </c>
      <c r="D14" s="50" t="s">
        <v>43</v>
      </c>
      <c r="E14" s="50" t="s">
        <v>44</v>
      </c>
      <c r="F14" s="50" t="s">
        <v>45</v>
      </c>
      <c r="G14" s="50" t="s">
        <v>46</v>
      </c>
      <c r="H14" s="50" t="s">
        <v>47</v>
      </c>
      <c r="I14" s="50" t="s">
        <v>48</v>
      </c>
      <c r="J14" s="50" t="s">
        <v>49</v>
      </c>
      <c r="K14" s="51" t="s">
        <v>63</v>
      </c>
    </row>
    <row r="15" customFormat="false" ht="15" hidden="false" customHeight="false" outlineLevel="0" collapsed="false">
      <c r="A15" s="48" t="s">
        <v>61</v>
      </c>
      <c r="B15" s="44" t="s">
        <v>64</v>
      </c>
      <c r="C15" s="52"/>
      <c r="D15" s="52"/>
      <c r="E15" s="52"/>
      <c r="F15" s="52"/>
      <c r="G15" s="52"/>
      <c r="H15" s="52"/>
      <c r="I15" s="52"/>
      <c r="J15" s="52"/>
      <c r="K15" s="53" t="n">
        <f aca="false">C15+D15+E15+F15+G15+H15+I15+J15</f>
        <v>0</v>
      </c>
      <c r="L15" s="54"/>
    </row>
    <row r="16" customFormat="false" ht="15" hidden="false" customHeight="false" outlineLevel="0" collapsed="false">
      <c r="A16" s="48" t="s">
        <v>61</v>
      </c>
      <c r="B16" s="44" t="s">
        <v>65</v>
      </c>
      <c r="C16" s="55"/>
      <c r="D16" s="55"/>
      <c r="E16" s="55"/>
      <c r="F16" s="55"/>
      <c r="G16" s="55"/>
      <c r="H16" s="55"/>
      <c r="I16" s="55"/>
      <c r="J16" s="55"/>
      <c r="K16" s="56" t="n">
        <f aca="false">IFERROR(((C15*C16)+(D15*D16)+(E15*E16)+(F15*F16)+(G15*G16)+(H15*H16)+(I15*I16)+(J15*J16))/K15,0)</f>
        <v>0</v>
      </c>
    </row>
    <row r="17" customFormat="false" ht="15.75" hidden="false" customHeight="true" outlineLevel="0" collapsed="false">
      <c r="A17" s="48" t="s">
        <v>61</v>
      </c>
      <c r="B17" s="57" t="s">
        <v>66</v>
      </c>
      <c r="C17" s="55"/>
      <c r="D17" s="55"/>
      <c r="E17" s="55"/>
      <c r="F17" s="55"/>
      <c r="G17" s="55"/>
      <c r="H17" s="55"/>
      <c r="I17" s="55"/>
      <c r="J17" s="55"/>
      <c r="K17" s="56" t="n">
        <f aca="false">IFERROR(((C15*C17)+(D15*D17)+(E15*E17)+(F15*F17)+(G15*G17)+(H15*H17)+(I15*I17)+(J15*J17))/K15,0)</f>
        <v>0</v>
      </c>
    </row>
    <row r="18" customFormat="false" ht="15.75" hidden="false" customHeight="true" outlineLevel="0" collapsed="false">
      <c r="B18" s="58" t="s">
        <v>67</v>
      </c>
      <c r="C18" s="59" t="n">
        <f aca="false">C15*(C16+C17)</f>
        <v>0</v>
      </c>
      <c r="D18" s="59" t="n">
        <f aca="false">D15*(D16+D17)</f>
        <v>0</v>
      </c>
      <c r="E18" s="59" t="n">
        <f aca="false">E15*(E16+E17)</f>
        <v>0</v>
      </c>
      <c r="F18" s="59" t="n">
        <f aca="false">F15*(F16+F17)</f>
        <v>0</v>
      </c>
      <c r="G18" s="59" t="n">
        <f aca="false">G15*(G16+G17)</f>
        <v>0</v>
      </c>
      <c r="H18" s="59" t="n">
        <f aca="false">H15*(H16+H17)</f>
        <v>0</v>
      </c>
      <c r="I18" s="59" t="n">
        <f aca="false">I15*(I16+I17)</f>
        <v>0</v>
      </c>
      <c r="J18" s="59" t="n">
        <f aca="false">J15*(J16+J17)</f>
        <v>0</v>
      </c>
      <c r="K18" s="60" t="n">
        <f aca="false">C18+D18+E18+F18+G18+H18+I18+J18</f>
        <v>0</v>
      </c>
    </row>
    <row r="19" customFormat="false" ht="15.75" hidden="false" customHeight="true" outlineLevel="0" collapsed="false"/>
    <row r="20" customFormat="false" ht="30.75" hidden="false" customHeight="true" outlineLevel="0" collapsed="false">
      <c r="A20" s="61" t="s">
        <v>61</v>
      </c>
      <c r="B20" s="62" t="s">
        <v>68</v>
      </c>
      <c r="C20" s="62" t="s">
        <v>42</v>
      </c>
      <c r="D20" s="62" t="s">
        <v>43</v>
      </c>
      <c r="E20" s="62" t="s">
        <v>44</v>
      </c>
      <c r="F20" s="62" t="s">
        <v>45</v>
      </c>
      <c r="G20" s="62" t="s">
        <v>46</v>
      </c>
      <c r="H20" s="62" t="s">
        <v>47</v>
      </c>
      <c r="I20" s="62" t="s">
        <v>48</v>
      </c>
      <c r="J20" s="62" t="s">
        <v>49</v>
      </c>
      <c r="K20" s="62" t="s">
        <v>63</v>
      </c>
    </row>
    <row r="21" customFormat="false" ht="15" hidden="false" customHeight="false" outlineLevel="0" collapsed="false">
      <c r="A21" s="61" t="s">
        <v>61</v>
      </c>
      <c r="B21" s="63" t="s">
        <v>69</v>
      </c>
      <c r="C21" s="64"/>
      <c r="D21" s="64"/>
      <c r="E21" s="64"/>
      <c r="F21" s="64"/>
      <c r="G21" s="64"/>
      <c r="H21" s="64"/>
      <c r="I21" s="64"/>
      <c r="J21" s="64"/>
      <c r="K21" s="65" t="n">
        <f aca="false">C21+D21+E21+F21+G21+H21+I21+J21</f>
        <v>0</v>
      </c>
    </row>
    <row r="22" customFormat="false" ht="15" hidden="false" customHeight="false" outlineLevel="0" collapsed="false">
      <c r="A22" s="66" t="s">
        <v>61</v>
      </c>
      <c r="B22" s="44" t="s">
        <v>70</v>
      </c>
      <c r="C22" s="55"/>
      <c r="D22" s="55"/>
      <c r="E22" s="55"/>
      <c r="F22" s="55"/>
      <c r="G22" s="55"/>
      <c r="H22" s="55"/>
      <c r="I22" s="55"/>
      <c r="J22" s="55"/>
      <c r="K22" s="56" t="n">
        <f aca="false">IFERROR(((C21*C22)+(D21*D22)+(E21*E22)+(F21*F22)+(G21*G22)+(H21*H22)+(I21*I22)+(J21*J22))/K21,0)</f>
        <v>0</v>
      </c>
    </row>
    <row r="23" customFormat="false" ht="15.75" hidden="false" customHeight="true" outlineLevel="0" collapsed="false">
      <c r="B23" s="58" t="s">
        <v>67</v>
      </c>
      <c r="C23" s="59" t="n">
        <f aca="false">C21*C22</f>
        <v>0</v>
      </c>
      <c r="D23" s="59" t="n">
        <f aca="false">D21*D22</f>
        <v>0</v>
      </c>
      <c r="E23" s="59" t="n">
        <f aca="false">E21*E22</f>
        <v>0</v>
      </c>
      <c r="F23" s="59" t="n">
        <f aca="false">F21*F22</f>
        <v>0</v>
      </c>
      <c r="G23" s="59" t="n">
        <f aca="false">G21*G22</f>
        <v>0</v>
      </c>
      <c r="H23" s="59" t="n">
        <f aca="false">H21*H22</f>
        <v>0</v>
      </c>
      <c r="I23" s="59" t="n">
        <f aca="false">I21*I22</f>
        <v>0</v>
      </c>
      <c r="J23" s="59" t="n">
        <f aca="false">J21*J22</f>
        <v>0</v>
      </c>
      <c r="K23" s="60" t="n">
        <f aca="false">C23+D23+E23+F23+G23+H23+I23+J23</f>
        <v>0</v>
      </c>
    </row>
    <row r="24" customFormat="false" ht="15.75" hidden="false" customHeight="true" outlineLevel="0" collapsed="false"/>
    <row r="25" customFormat="false" ht="30.75" hidden="false" customHeight="true" outlineLevel="0" collapsed="false">
      <c r="A25" s="61" t="s">
        <v>61</v>
      </c>
      <c r="B25" s="62" t="s">
        <v>71</v>
      </c>
      <c r="C25" s="62" t="s">
        <v>42</v>
      </c>
      <c r="D25" s="62" t="s">
        <v>43</v>
      </c>
      <c r="E25" s="62" t="s">
        <v>44</v>
      </c>
      <c r="F25" s="62" t="s">
        <v>45</v>
      </c>
      <c r="G25" s="62" t="s">
        <v>46</v>
      </c>
      <c r="H25" s="62" t="s">
        <v>47</v>
      </c>
      <c r="I25" s="62" t="s">
        <v>48</v>
      </c>
      <c r="J25" s="62" t="s">
        <v>49</v>
      </c>
      <c r="K25" s="62" t="s">
        <v>63</v>
      </c>
    </row>
    <row r="26" customFormat="false" ht="15" hidden="false" customHeight="false" outlineLevel="0" collapsed="false">
      <c r="B26" s="67"/>
      <c r="C26" s="55"/>
      <c r="D26" s="55"/>
      <c r="E26" s="55"/>
      <c r="F26" s="55"/>
      <c r="G26" s="55"/>
      <c r="H26" s="55"/>
      <c r="I26" s="55"/>
      <c r="J26" s="55"/>
      <c r="K26" s="56" t="n">
        <f aca="false">C26+D26+E26+F26+G26+H26+I26+J26</f>
        <v>0</v>
      </c>
    </row>
    <row r="27" customFormat="false" ht="15" hidden="false" customHeight="false" outlineLevel="0" collapsed="false">
      <c r="B27" s="67"/>
      <c r="C27" s="55"/>
      <c r="D27" s="55"/>
      <c r="E27" s="55"/>
      <c r="F27" s="55"/>
      <c r="G27" s="55"/>
      <c r="H27" s="55"/>
      <c r="I27" s="55"/>
      <c r="J27" s="55"/>
      <c r="K27" s="56" t="n">
        <f aca="false">C27+D27+E27+F27+G27+H27+I27+J27</f>
        <v>0</v>
      </c>
    </row>
    <row r="28" customFormat="false" ht="15" hidden="false" customHeight="false" outlineLevel="0" collapsed="false">
      <c r="B28" s="67"/>
      <c r="C28" s="55"/>
      <c r="D28" s="55"/>
      <c r="E28" s="55"/>
      <c r="F28" s="55"/>
      <c r="G28" s="55"/>
      <c r="H28" s="55"/>
      <c r="I28" s="55"/>
      <c r="J28" s="55"/>
      <c r="K28" s="56" t="n">
        <f aca="false">C28+D28+E28+F28+G28+H28+I28+J28</f>
        <v>0</v>
      </c>
    </row>
    <row r="29" customFormat="false" ht="15" hidden="false" customHeight="false" outlineLevel="0" collapsed="false">
      <c r="B29" s="67"/>
      <c r="C29" s="55"/>
      <c r="D29" s="55"/>
      <c r="E29" s="55"/>
      <c r="F29" s="55"/>
      <c r="G29" s="55"/>
      <c r="H29" s="55"/>
      <c r="I29" s="55"/>
      <c r="J29" s="55"/>
      <c r="K29" s="56" t="n">
        <f aca="false">C29+D29+E29+F29+G29+H29+I29+J29</f>
        <v>0</v>
      </c>
    </row>
    <row r="30" customFormat="false" ht="15" hidden="false" customHeight="false" outlineLevel="0" collapsed="false">
      <c r="B30" s="67"/>
      <c r="C30" s="55"/>
      <c r="D30" s="55"/>
      <c r="E30" s="55"/>
      <c r="F30" s="55"/>
      <c r="G30" s="55"/>
      <c r="H30" s="55"/>
      <c r="I30" s="55"/>
      <c r="J30" s="55"/>
      <c r="K30" s="56" t="n">
        <f aca="false">C30+D30+E30+F30+G30+H30+I30+J30</f>
        <v>0</v>
      </c>
    </row>
    <row r="31" customFormat="false" ht="15" hidden="false" customHeight="false" outlineLevel="0" collapsed="false">
      <c r="B31" s="68"/>
      <c r="C31" s="55"/>
      <c r="D31" s="55"/>
      <c r="E31" s="55"/>
      <c r="F31" s="55"/>
      <c r="G31" s="55"/>
      <c r="H31" s="55"/>
      <c r="I31" s="55"/>
      <c r="J31" s="55"/>
      <c r="K31" s="56" t="n">
        <v>0</v>
      </c>
    </row>
    <row r="32" customFormat="false" ht="15" hidden="false" customHeight="false" outlineLevel="0" collapsed="false">
      <c r="B32" s="68"/>
      <c r="C32" s="55"/>
      <c r="D32" s="55"/>
      <c r="E32" s="55"/>
      <c r="F32" s="55"/>
      <c r="G32" s="55"/>
      <c r="H32" s="55"/>
      <c r="I32" s="55"/>
      <c r="J32" s="55"/>
      <c r="K32" s="56" t="n">
        <v>0</v>
      </c>
    </row>
    <row r="33" customFormat="false" ht="15" hidden="false" customHeight="false" outlineLevel="0" collapsed="false">
      <c r="B33" s="68"/>
      <c r="C33" s="55"/>
      <c r="D33" s="55"/>
      <c r="E33" s="55"/>
      <c r="F33" s="55"/>
      <c r="G33" s="55"/>
      <c r="H33" s="55"/>
      <c r="I33" s="55"/>
      <c r="J33" s="55"/>
      <c r="K33" s="56" t="n">
        <v>0</v>
      </c>
    </row>
    <row r="34" customFormat="false" ht="15" hidden="false" customHeight="false" outlineLevel="0" collapsed="false">
      <c r="B34" s="68"/>
      <c r="C34" s="69"/>
      <c r="D34" s="69"/>
      <c r="E34" s="69"/>
      <c r="F34" s="69"/>
      <c r="G34" s="69"/>
      <c r="H34" s="69"/>
      <c r="I34" s="69"/>
      <c r="J34" s="69"/>
      <c r="K34" s="56" t="n">
        <v>0</v>
      </c>
    </row>
    <row r="35" customFormat="false" ht="15.75" hidden="false" customHeight="true" outlineLevel="0" collapsed="false">
      <c r="B35" s="68"/>
      <c r="C35" s="70"/>
      <c r="D35" s="70"/>
      <c r="E35" s="70"/>
      <c r="F35" s="70"/>
      <c r="G35" s="70"/>
      <c r="H35" s="70"/>
      <c r="I35" s="70"/>
      <c r="J35" s="70"/>
      <c r="K35" s="56" t="n">
        <v>0</v>
      </c>
    </row>
    <row r="36" customFormat="false" ht="16.5" hidden="false" customHeight="true" outlineLevel="0" collapsed="false">
      <c r="B36" s="58" t="s">
        <v>67</v>
      </c>
      <c r="C36" s="59" t="n">
        <f aca="false">SUM(C26:C35)</f>
        <v>0</v>
      </c>
      <c r="D36" s="59" t="n">
        <f aca="false">SUM(D26:D35)</f>
        <v>0</v>
      </c>
      <c r="E36" s="59" t="n">
        <f aca="false">SUM(E26:E35)</f>
        <v>0</v>
      </c>
      <c r="F36" s="59" t="n">
        <f aca="false">SUM(F26:F35)</f>
        <v>0</v>
      </c>
      <c r="G36" s="59" t="n">
        <f aca="false">SUM(G26:G35)</f>
        <v>0</v>
      </c>
      <c r="H36" s="59" t="n">
        <f aca="false">SUM(H26:H35)</f>
        <v>0</v>
      </c>
      <c r="I36" s="59" t="n">
        <f aca="false">SUM(I26:I35)</f>
        <v>0</v>
      </c>
      <c r="J36" s="59" t="n">
        <f aca="false">SUM(J26:J35)</f>
        <v>0</v>
      </c>
      <c r="K36" s="71" t="n">
        <f aca="false">C36+D36+E36+F36+G36+H36+I36+J36</f>
        <v>0</v>
      </c>
    </row>
    <row r="37" customFormat="false" ht="15.75" hidden="false" customHeight="true" outlineLevel="0" collapsed="false"/>
    <row r="38" customFormat="false" ht="30.75" hidden="false" customHeight="true" outlineLevel="0" collapsed="false">
      <c r="A38" s="61" t="s">
        <v>61</v>
      </c>
      <c r="B38" s="62" t="s">
        <v>72</v>
      </c>
      <c r="C38" s="62" t="s">
        <v>42</v>
      </c>
      <c r="D38" s="62" t="s">
        <v>43</v>
      </c>
      <c r="E38" s="62" t="s">
        <v>44</v>
      </c>
      <c r="F38" s="62" t="s">
        <v>45</v>
      </c>
      <c r="G38" s="62" t="s">
        <v>46</v>
      </c>
      <c r="H38" s="62" t="s">
        <v>47</v>
      </c>
      <c r="I38" s="62" t="s">
        <v>48</v>
      </c>
      <c r="J38" s="62" t="s">
        <v>49</v>
      </c>
      <c r="K38" s="62" t="s">
        <v>63</v>
      </c>
    </row>
    <row r="39" customFormat="false" ht="15" hidden="false" customHeight="false" outlineLevel="0" collapsed="false">
      <c r="B39" s="72" t="s">
        <v>73</v>
      </c>
      <c r="C39" s="55" t="n">
        <v>1400</v>
      </c>
      <c r="D39" s="55"/>
      <c r="E39" s="55"/>
      <c r="F39" s="55"/>
      <c r="G39" s="55"/>
      <c r="H39" s="55"/>
      <c r="I39" s="55"/>
      <c r="J39" s="55"/>
      <c r="K39" s="56" t="n">
        <f aca="false">C39+D39+E39+F39+G39+H39+I39+J39</f>
        <v>1400</v>
      </c>
    </row>
    <row r="40" customFormat="false" ht="15" hidden="false" customHeight="false" outlineLevel="0" collapsed="false">
      <c r="B40" s="72" t="s">
        <v>74</v>
      </c>
      <c r="C40" s="55" t="n">
        <v>800</v>
      </c>
      <c r="D40" s="55"/>
      <c r="E40" s="55"/>
      <c r="F40" s="55"/>
      <c r="G40" s="55"/>
      <c r="H40" s="55"/>
      <c r="I40" s="55"/>
      <c r="J40" s="55"/>
      <c r="K40" s="56" t="n">
        <f aca="false">C40+D40+E40+F40+G40+H40+I40+J40</f>
        <v>800</v>
      </c>
    </row>
    <row r="41" customFormat="false" ht="15" hidden="false" customHeight="false" outlineLevel="0" collapsed="false">
      <c r="B41" s="72" t="s">
        <v>75</v>
      </c>
      <c r="C41" s="55" t="n">
        <v>300</v>
      </c>
      <c r="D41" s="55"/>
      <c r="E41" s="55"/>
      <c r="F41" s="55"/>
      <c r="G41" s="55"/>
      <c r="H41" s="55"/>
      <c r="I41" s="55"/>
      <c r="J41" s="55"/>
      <c r="K41" s="56" t="n">
        <f aca="false">C41+D41+E41+F41+G41+H41+I41+J41</f>
        <v>300</v>
      </c>
    </row>
    <row r="42" customFormat="false" ht="15" hidden="false" customHeight="false" outlineLevel="0" collapsed="false">
      <c r="B42" s="72" t="s">
        <v>76</v>
      </c>
      <c r="C42" s="55"/>
      <c r="D42" s="55"/>
      <c r="E42" s="55"/>
      <c r="F42" s="55" t="n">
        <v>150</v>
      </c>
      <c r="G42" s="55"/>
      <c r="H42" s="55"/>
      <c r="I42" s="55"/>
      <c r="J42" s="55"/>
      <c r="K42" s="56" t="n">
        <f aca="false">C42+D42+E42+F42+G42+H42+I42+J42</f>
        <v>150</v>
      </c>
    </row>
    <row r="43" customFormat="false" ht="23.85" hidden="false" customHeight="false" outlineLevel="0" collapsed="false">
      <c r="B43" s="72" t="s">
        <v>77</v>
      </c>
      <c r="C43" s="55" t="n">
        <v>600</v>
      </c>
      <c r="D43" s="55" t="n">
        <v>600</v>
      </c>
      <c r="E43" s="55" t="n">
        <v>600</v>
      </c>
      <c r="F43" s="55" t="n">
        <v>200</v>
      </c>
      <c r="G43" s="55"/>
      <c r="H43" s="55"/>
      <c r="I43" s="55"/>
      <c r="J43" s="55"/>
      <c r="K43" s="56" t="n">
        <f aca="false">C43+D43+E43+F43+G43+H43+I43+J43</f>
        <v>2000</v>
      </c>
    </row>
    <row r="44" customFormat="false" ht="23.85" hidden="false" customHeight="false" outlineLevel="0" collapsed="false">
      <c r="B44" s="73" t="s">
        <v>78</v>
      </c>
      <c r="C44" s="55" t="n">
        <v>1000</v>
      </c>
      <c r="D44" s="55"/>
      <c r="E44" s="55"/>
      <c r="F44" s="55"/>
      <c r="G44" s="55"/>
      <c r="H44" s="55"/>
      <c r="I44" s="55"/>
      <c r="J44" s="55"/>
      <c r="K44" s="56" t="n">
        <f aca="false">C44+D44+E44+F44+G44+H44+I44+J44</f>
        <v>1000</v>
      </c>
    </row>
    <row r="45" customFormat="false" ht="15" hidden="false" customHeight="false" outlineLevel="0" collapsed="false">
      <c r="B45" s="73"/>
      <c r="C45" s="55"/>
      <c r="D45" s="55"/>
      <c r="E45" s="55"/>
      <c r="F45" s="55"/>
      <c r="G45" s="55"/>
      <c r="H45" s="55"/>
      <c r="I45" s="55"/>
      <c r="J45" s="55"/>
      <c r="K45" s="56" t="n">
        <f aca="false">C45+D45+E45+F45+G45+H45+I45+J45</f>
        <v>0</v>
      </c>
    </row>
    <row r="46" customFormat="false" ht="15" hidden="false" customHeight="false" outlineLevel="0" collapsed="false">
      <c r="B46" s="73"/>
      <c r="C46" s="55"/>
      <c r="D46" s="55"/>
      <c r="E46" s="55"/>
      <c r="F46" s="55"/>
      <c r="G46" s="55"/>
      <c r="H46" s="55"/>
      <c r="I46" s="55"/>
      <c r="J46" s="55"/>
      <c r="K46" s="56" t="n">
        <f aca="false">C46+D46+E46+F46+G46+H46+I46+J46</f>
        <v>0</v>
      </c>
    </row>
    <row r="47" customFormat="false" ht="15" hidden="false" customHeight="false" outlineLevel="0" collapsed="false">
      <c r="B47" s="73"/>
      <c r="C47" s="55"/>
      <c r="D47" s="55"/>
      <c r="E47" s="55"/>
      <c r="F47" s="55"/>
      <c r="G47" s="55"/>
      <c r="H47" s="55"/>
      <c r="I47" s="55"/>
      <c r="J47" s="55"/>
      <c r="K47" s="56" t="n">
        <f aca="false">C47+D47+E47+F47+G47+H47+I47+J47</f>
        <v>0</v>
      </c>
    </row>
    <row r="48" customFormat="false" ht="15" hidden="false" customHeight="false" outlineLevel="0" collapsed="false">
      <c r="B48" s="73"/>
      <c r="C48" s="55"/>
      <c r="D48" s="55"/>
      <c r="E48" s="55"/>
      <c r="F48" s="55"/>
      <c r="G48" s="55"/>
      <c r="H48" s="55"/>
      <c r="I48" s="55"/>
      <c r="J48" s="55"/>
      <c r="K48" s="56" t="n">
        <f aca="false">C48+D48+E48+F48+G48+H48+I48+J48</f>
        <v>0</v>
      </c>
    </row>
    <row r="49" customFormat="false" ht="15" hidden="false" customHeight="false" outlineLevel="0" collapsed="false">
      <c r="B49" s="73"/>
      <c r="C49" s="55"/>
      <c r="D49" s="55"/>
      <c r="E49" s="55"/>
      <c r="F49" s="55"/>
      <c r="G49" s="55"/>
      <c r="H49" s="55"/>
      <c r="I49" s="55"/>
      <c r="J49" s="55"/>
      <c r="K49" s="56" t="n">
        <f aca="false">C49+D49+E49+F49+G49+H49+I49+J49</f>
        <v>0</v>
      </c>
    </row>
    <row r="50" customFormat="false" ht="15" hidden="false" customHeight="false" outlineLevel="0" collapsed="false">
      <c r="B50" s="73"/>
      <c r="C50" s="55"/>
      <c r="D50" s="55"/>
      <c r="E50" s="55"/>
      <c r="F50" s="55"/>
      <c r="G50" s="55"/>
      <c r="H50" s="55"/>
      <c r="I50" s="55"/>
      <c r="J50" s="55"/>
      <c r="K50" s="56" t="n">
        <f aca="false">C50+D50+E50+F50+G50+H50+I50+J50</f>
        <v>0</v>
      </c>
    </row>
    <row r="51" customFormat="false" ht="15" hidden="false" customHeight="false" outlineLevel="0" collapsed="false">
      <c r="B51" s="72"/>
      <c r="C51" s="55"/>
      <c r="D51" s="55"/>
      <c r="E51" s="55"/>
      <c r="F51" s="55"/>
      <c r="G51" s="55"/>
      <c r="H51" s="55"/>
      <c r="I51" s="55"/>
      <c r="J51" s="55"/>
      <c r="K51" s="56" t="n">
        <f aca="false">C51+D51+E51+F51+G51+H51+I51+J51</f>
        <v>0</v>
      </c>
    </row>
    <row r="52" customFormat="false" ht="15" hidden="false" customHeight="false" outlineLevel="0" collapsed="false">
      <c r="B52" s="72"/>
      <c r="C52" s="55"/>
      <c r="D52" s="55"/>
      <c r="E52" s="55"/>
      <c r="F52" s="55"/>
      <c r="G52" s="55"/>
      <c r="H52" s="55"/>
      <c r="I52" s="55"/>
      <c r="J52" s="55"/>
      <c r="K52" s="56" t="n">
        <f aca="false">C52+D52+E52+F52+G52+H52+I52+J52</f>
        <v>0</v>
      </c>
    </row>
    <row r="53" customFormat="false" ht="15.75" hidden="false" customHeight="true" outlineLevel="0" collapsed="false">
      <c r="B53" s="74"/>
      <c r="C53" s="70"/>
      <c r="D53" s="70"/>
      <c r="E53" s="70"/>
      <c r="F53" s="70"/>
      <c r="G53" s="70"/>
      <c r="H53" s="70"/>
      <c r="I53" s="70"/>
      <c r="J53" s="70"/>
      <c r="K53" s="75" t="n">
        <f aca="false">C53+D53+E53+F53+G53+H53+I53+J53</f>
        <v>0</v>
      </c>
    </row>
    <row r="54" customFormat="false" ht="16.5" hidden="false" customHeight="true" outlineLevel="0" collapsed="false">
      <c r="B54" s="76" t="s">
        <v>67</v>
      </c>
      <c r="C54" s="59" t="n">
        <f aca="false">SUM(C39:C53)</f>
        <v>4100</v>
      </c>
      <c r="D54" s="59" t="n">
        <f aca="false">SUM(D39:D53)</f>
        <v>600</v>
      </c>
      <c r="E54" s="59" t="n">
        <f aca="false">SUM(E39:E53)</f>
        <v>600</v>
      </c>
      <c r="F54" s="59" t="n">
        <f aca="false">SUM(F39:F53)</f>
        <v>350</v>
      </c>
      <c r="G54" s="59" t="n">
        <f aca="false">SUM(G39:G53)</f>
        <v>0</v>
      </c>
      <c r="H54" s="59" t="n">
        <f aca="false">SUM(H39:H53)</f>
        <v>0</v>
      </c>
      <c r="I54" s="59" t="n">
        <f aca="false">SUM(I39:I53)</f>
        <v>0</v>
      </c>
      <c r="J54" s="59" t="n">
        <f aca="false">SUM(J39:J53)</f>
        <v>0</v>
      </c>
      <c r="K54" s="60" t="n">
        <f aca="false">C54+D54+E54+F54+G54+H54+I54+J54</f>
        <v>5650</v>
      </c>
    </row>
    <row r="55" customFormat="false" ht="15.75" hidden="false" customHeight="true" outlineLevel="0" collapsed="false"/>
    <row r="56" customFormat="false" ht="30.75" hidden="false" customHeight="true" outlineLevel="0" collapsed="false">
      <c r="A56" s="48" t="s">
        <v>61</v>
      </c>
      <c r="B56" s="49" t="s">
        <v>79</v>
      </c>
      <c r="C56" s="50" t="s">
        <v>42</v>
      </c>
      <c r="D56" s="50" t="s">
        <v>43</v>
      </c>
      <c r="E56" s="50" t="s">
        <v>44</v>
      </c>
      <c r="F56" s="50" t="s">
        <v>45</v>
      </c>
      <c r="G56" s="50" t="s">
        <v>46</v>
      </c>
      <c r="H56" s="50" t="s">
        <v>47</v>
      </c>
      <c r="I56" s="50" t="s">
        <v>48</v>
      </c>
      <c r="J56" s="50" t="s">
        <v>49</v>
      </c>
      <c r="K56" s="51" t="s">
        <v>63</v>
      </c>
    </row>
    <row r="57" customFormat="false" ht="23.85" hidden="false" customHeight="false" outlineLevel="0" collapsed="false">
      <c r="B57" s="72" t="s">
        <v>80</v>
      </c>
      <c r="C57" s="55"/>
      <c r="D57" s="55" t="n">
        <v>900</v>
      </c>
      <c r="E57" s="55"/>
      <c r="F57" s="55"/>
      <c r="G57" s="55"/>
      <c r="H57" s="55"/>
      <c r="I57" s="55"/>
      <c r="J57" s="55"/>
      <c r="K57" s="56" t="n">
        <f aca="false">C57+D57+E57+F57+G57+H57+I57+J57</f>
        <v>900</v>
      </c>
    </row>
    <row r="58" customFormat="false" ht="23.85" hidden="false" customHeight="false" outlineLevel="0" collapsed="false">
      <c r="B58" s="72" t="s">
        <v>81</v>
      </c>
      <c r="C58" s="55"/>
      <c r="D58" s="55" t="n">
        <v>700</v>
      </c>
      <c r="E58" s="55"/>
      <c r="F58" s="55"/>
      <c r="G58" s="55"/>
      <c r="H58" s="55"/>
      <c r="I58" s="55"/>
      <c r="J58" s="55"/>
      <c r="K58" s="56" t="n">
        <f aca="false">C58+D58+E58+F58+G58+H58+I58+J58</f>
        <v>700</v>
      </c>
    </row>
    <row r="59" customFormat="false" ht="15" hidden="false" customHeight="false" outlineLevel="0" collapsed="false">
      <c r="B59" s="72" t="s">
        <v>82</v>
      </c>
      <c r="C59" s="55"/>
      <c r="D59" s="55"/>
      <c r="E59" s="55" t="n">
        <v>750</v>
      </c>
      <c r="F59" s="55"/>
      <c r="G59" s="55"/>
      <c r="H59" s="55"/>
      <c r="I59" s="55"/>
      <c r="J59" s="55"/>
      <c r="K59" s="56" t="n">
        <f aca="false">C59+D59+E59+F59+G59+H59+I59+J59</f>
        <v>750</v>
      </c>
    </row>
    <row r="60" customFormat="false" ht="23.85" hidden="false" customHeight="false" outlineLevel="0" collapsed="false">
      <c r="B60" s="72" t="s">
        <v>83</v>
      </c>
      <c r="C60" s="55"/>
      <c r="D60" s="55" t="n">
        <v>2000</v>
      </c>
      <c r="E60" s="55"/>
      <c r="F60" s="55"/>
      <c r="G60" s="55"/>
      <c r="H60" s="55"/>
      <c r="I60" s="55"/>
      <c r="J60" s="55"/>
      <c r="K60" s="56" t="n">
        <f aca="false">C60+D60+E60+F60+G60+H60+I60+J60</f>
        <v>2000</v>
      </c>
    </row>
    <row r="61" customFormat="false" ht="23.85" hidden="false" customHeight="false" outlineLevel="0" collapsed="false">
      <c r="B61" s="72" t="s">
        <v>84</v>
      </c>
      <c r="C61" s="55"/>
      <c r="D61" s="55"/>
      <c r="E61" s="55" t="n">
        <v>1000</v>
      </c>
      <c r="F61" s="55"/>
      <c r="G61" s="55"/>
      <c r="H61" s="55"/>
      <c r="I61" s="55"/>
      <c r="J61" s="55"/>
      <c r="K61" s="56" t="n">
        <f aca="false">C61+D61+E61+F61+G61+H61+I61+J61</f>
        <v>1000</v>
      </c>
    </row>
    <row r="62" customFormat="false" ht="15" hidden="false" customHeight="false" outlineLevel="0" collapsed="false">
      <c r="B62" s="72"/>
      <c r="C62" s="55"/>
      <c r="D62" s="55"/>
      <c r="E62" s="55"/>
      <c r="F62" s="55"/>
      <c r="G62" s="55"/>
      <c r="H62" s="55"/>
      <c r="I62" s="55"/>
      <c r="J62" s="55"/>
      <c r="K62" s="56" t="n">
        <f aca="false">C62+D62+E62+F62+G62+H62+I62+J62</f>
        <v>0</v>
      </c>
    </row>
    <row r="63" customFormat="false" ht="15" hidden="false" customHeight="false" outlineLevel="0" collapsed="false">
      <c r="B63" s="72"/>
      <c r="C63" s="55"/>
      <c r="D63" s="55"/>
      <c r="E63" s="55"/>
      <c r="F63" s="55"/>
      <c r="G63" s="55"/>
      <c r="H63" s="55"/>
      <c r="I63" s="55"/>
      <c r="J63" s="55"/>
      <c r="K63" s="56" t="n">
        <f aca="false">C63+D63+E63+F63+G63+H63+I63+J63</f>
        <v>0</v>
      </c>
    </row>
    <row r="64" customFormat="false" ht="15" hidden="false" customHeight="false" outlineLevel="0" collapsed="false">
      <c r="B64" s="68"/>
      <c r="C64" s="69"/>
      <c r="D64" s="69"/>
      <c r="E64" s="69"/>
      <c r="F64" s="69"/>
      <c r="G64" s="69"/>
      <c r="H64" s="69"/>
      <c r="I64" s="69"/>
      <c r="J64" s="69"/>
      <c r="K64" s="56" t="n">
        <f aca="false">C64+D64+E64+F64+G64+H64+I64+J64</f>
        <v>0</v>
      </c>
    </row>
    <row r="65" customFormat="false" ht="15" hidden="false" customHeight="false" outlineLevel="0" collapsed="false">
      <c r="B65" s="68"/>
      <c r="C65" s="69"/>
      <c r="D65" s="69"/>
      <c r="E65" s="69"/>
      <c r="F65" s="69"/>
      <c r="G65" s="69"/>
      <c r="H65" s="69"/>
      <c r="I65" s="69"/>
      <c r="J65" s="69"/>
      <c r="K65" s="56" t="n">
        <f aca="false">C65+D65+E65+F65+G65+H65+I65+J65</f>
        <v>0</v>
      </c>
    </row>
    <row r="66" customFormat="false" ht="15.75" hidden="false" customHeight="true" outlineLevel="0" collapsed="false">
      <c r="B66" s="74"/>
      <c r="C66" s="70"/>
      <c r="D66" s="70"/>
      <c r="E66" s="70"/>
      <c r="F66" s="70"/>
      <c r="G66" s="70"/>
      <c r="H66" s="70"/>
      <c r="I66" s="70"/>
      <c r="J66" s="70"/>
      <c r="K66" s="75" t="n">
        <f aca="false">C66+D66+E66+F66+G66+H66+I66+J66</f>
        <v>0</v>
      </c>
    </row>
    <row r="67" customFormat="false" ht="16.5" hidden="false" customHeight="true" outlineLevel="0" collapsed="false">
      <c r="B67" s="76" t="s">
        <v>67</v>
      </c>
      <c r="C67" s="59" t="n">
        <f aca="false">SUM(C57:C66)</f>
        <v>0</v>
      </c>
      <c r="D67" s="59" t="n">
        <f aca="false">SUM(D57:D66)</f>
        <v>3600</v>
      </c>
      <c r="E67" s="59" t="n">
        <f aca="false">SUM(E57:E66)</f>
        <v>1750</v>
      </c>
      <c r="F67" s="59" t="n">
        <f aca="false">SUM(F57:F66)</f>
        <v>0</v>
      </c>
      <c r="G67" s="59" t="n">
        <f aca="false">SUM(G57:G66)</f>
        <v>0</v>
      </c>
      <c r="H67" s="59" t="n">
        <f aca="false">SUM(H57:H66)</f>
        <v>0</v>
      </c>
      <c r="I67" s="59" t="n">
        <f aca="false">SUM(I57:I66)</f>
        <v>0</v>
      </c>
      <c r="J67" s="59" t="n">
        <f aca="false">SUM(J57:J66)</f>
        <v>0</v>
      </c>
      <c r="K67" s="60" t="n">
        <f aca="false">C67+D67+E67+F67+G67+H67+I67+J67</f>
        <v>5350</v>
      </c>
    </row>
    <row r="68" customFormat="false" ht="15.75" hidden="false" customHeight="true" outlineLevel="0" collapsed="false"/>
    <row r="69" customFormat="false" ht="30.75" hidden="false" customHeight="true" outlineLevel="0" collapsed="false">
      <c r="A69" s="48" t="s">
        <v>61</v>
      </c>
      <c r="B69" s="49" t="s">
        <v>85</v>
      </c>
      <c r="C69" s="50" t="s">
        <v>42</v>
      </c>
      <c r="D69" s="50" t="s">
        <v>43</v>
      </c>
      <c r="E69" s="50" t="s">
        <v>44</v>
      </c>
      <c r="F69" s="50" t="s">
        <v>45</v>
      </c>
      <c r="G69" s="50" t="s">
        <v>46</v>
      </c>
      <c r="H69" s="50" t="s">
        <v>47</v>
      </c>
      <c r="I69" s="50" t="s">
        <v>48</v>
      </c>
      <c r="J69" s="50" t="s">
        <v>49</v>
      </c>
      <c r="K69" s="51" t="s">
        <v>63</v>
      </c>
    </row>
    <row r="70" customFormat="false" ht="15" hidden="false" customHeight="false" outlineLevel="0" collapsed="false">
      <c r="B70" s="44" t="s">
        <v>86</v>
      </c>
      <c r="C70" s="77" t="n">
        <f aca="false">C18</f>
        <v>0</v>
      </c>
      <c r="D70" s="77" t="n">
        <f aca="false">D18</f>
        <v>0</v>
      </c>
      <c r="E70" s="77" t="n">
        <f aca="false">E18</f>
        <v>0</v>
      </c>
      <c r="F70" s="77" t="n">
        <f aca="false">F18</f>
        <v>0</v>
      </c>
      <c r="G70" s="77" t="n">
        <f aca="false">G18</f>
        <v>0</v>
      </c>
      <c r="H70" s="77" t="n">
        <f aca="false">H18</f>
        <v>0</v>
      </c>
      <c r="I70" s="77" t="n">
        <f aca="false">I18</f>
        <v>0</v>
      </c>
      <c r="J70" s="77" t="n">
        <f aca="false">J18</f>
        <v>0</v>
      </c>
      <c r="K70" s="56" t="n">
        <f aca="false">C70+D70+E70+F70+G70+H70+I70+J70</f>
        <v>0</v>
      </c>
    </row>
    <row r="71" customFormat="false" ht="15" hidden="false" customHeight="false" outlineLevel="0" collapsed="false">
      <c r="B71" s="44" t="s">
        <v>68</v>
      </c>
      <c r="C71" s="77" t="n">
        <f aca="false">C23</f>
        <v>0</v>
      </c>
      <c r="D71" s="77" t="n">
        <f aca="false">D23</f>
        <v>0</v>
      </c>
      <c r="E71" s="77" t="n">
        <f aca="false">E23</f>
        <v>0</v>
      </c>
      <c r="F71" s="77" t="n">
        <f aca="false">F23</f>
        <v>0</v>
      </c>
      <c r="G71" s="77" t="n">
        <f aca="false">G23</f>
        <v>0</v>
      </c>
      <c r="H71" s="77" t="n">
        <f aca="false">H23</f>
        <v>0</v>
      </c>
      <c r="I71" s="77" t="n">
        <f aca="false">I23</f>
        <v>0</v>
      </c>
      <c r="J71" s="77" t="n">
        <f aca="false">J23</f>
        <v>0</v>
      </c>
      <c r="K71" s="56" t="n">
        <f aca="false">C71+D71+E71+F71+G71+H71+I71+J71</f>
        <v>0</v>
      </c>
    </row>
    <row r="72" customFormat="false" ht="15" hidden="false" customHeight="false" outlineLevel="0" collapsed="false">
      <c r="B72" s="44" t="s">
        <v>71</v>
      </c>
      <c r="C72" s="77" t="n">
        <f aca="false">C36</f>
        <v>0</v>
      </c>
      <c r="D72" s="77" t="n">
        <f aca="false">D36</f>
        <v>0</v>
      </c>
      <c r="E72" s="77" t="n">
        <f aca="false">E36</f>
        <v>0</v>
      </c>
      <c r="F72" s="77" t="n">
        <f aca="false">F36</f>
        <v>0</v>
      </c>
      <c r="G72" s="77" t="n">
        <f aca="false">G36</f>
        <v>0</v>
      </c>
      <c r="H72" s="77" t="n">
        <f aca="false">H36</f>
        <v>0</v>
      </c>
      <c r="I72" s="77" t="n">
        <f aca="false">I36</f>
        <v>0</v>
      </c>
      <c r="J72" s="77" t="n">
        <f aca="false">J36</f>
        <v>0</v>
      </c>
      <c r="K72" s="56" t="n">
        <f aca="false">C72+D72+E72+F72+G72+H72+I72+J72</f>
        <v>0</v>
      </c>
    </row>
    <row r="73" customFormat="false" ht="15" hidden="false" customHeight="false" outlineLevel="0" collapsed="false">
      <c r="B73" s="44" t="s">
        <v>72</v>
      </c>
      <c r="C73" s="77" t="n">
        <f aca="false">C54</f>
        <v>4100</v>
      </c>
      <c r="D73" s="77" t="n">
        <f aca="false">D54</f>
        <v>600</v>
      </c>
      <c r="E73" s="77" t="n">
        <f aca="false">E54</f>
        <v>600</v>
      </c>
      <c r="F73" s="77" t="n">
        <f aca="false">F54</f>
        <v>350</v>
      </c>
      <c r="G73" s="77" t="n">
        <f aca="false">G54</f>
        <v>0</v>
      </c>
      <c r="H73" s="77" t="n">
        <f aca="false">H54</f>
        <v>0</v>
      </c>
      <c r="I73" s="77" t="n">
        <f aca="false">I54</f>
        <v>0</v>
      </c>
      <c r="J73" s="77" t="n">
        <f aca="false">J54</f>
        <v>0</v>
      </c>
      <c r="K73" s="56" t="n">
        <f aca="false">C73+D73+E73+F73+G73+H73+I73+J73</f>
        <v>5650</v>
      </c>
    </row>
    <row r="74" customFormat="false" ht="15.75" hidden="false" customHeight="true" outlineLevel="0" collapsed="false">
      <c r="B74" s="44" t="s">
        <v>79</v>
      </c>
      <c r="C74" s="78" t="n">
        <f aca="false">C67</f>
        <v>0</v>
      </c>
      <c r="D74" s="78" t="n">
        <f aca="false">D67</f>
        <v>3600</v>
      </c>
      <c r="E74" s="78" t="n">
        <f aca="false">E67</f>
        <v>1750</v>
      </c>
      <c r="F74" s="78" t="n">
        <f aca="false">F67</f>
        <v>0</v>
      </c>
      <c r="G74" s="78" t="n">
        <f aca="false">G67</f>
        <v>0</v>
      </c>
      <c r="H74" s="78" t="n">
        <f aca="false">H67</f>
        <v>0</v>
      </c>
      <c r="I74" s="78" t="n">
        <f aca="false">I67</f>
        <v>0</v>
      </c>
      <c r="J74" s="78" t="n">
        <f aca="false">J67</f>
        <v>0</v>
      </c>
      <c r="K74" s="75" t="n">
        <f aca="false">C74+D74+E74+F74+G74+H74+I74+J74</f>
        <v>5350</v>
      </c>
    </row>
    <row r="75" customFormat="false" ht="15.75" hidden="false" customHeight="true" outlineLevel="0" collapsed="false">
      <c r="B75" s="79" t="s">
        <v>87</v>
      </c>
      <c r="C75" s="59" t="n">
        <f aca="false">SUM(C70:C74)</f>
        <v>4100</v>
      </c>
      <c r="D75" s="59" t="n">
        <f aca="false">SUM(D70:D74)</f>
        <v>4200</v>
      </c>
      <c r="E75" s="59" t="n">
        <f aca="false">SUM(E70:E74)</f>
        <v>2350</v>
      </c>
      <c r="F75" s="59" t="n">
        <f aca="false">SUM(F70:F74)</f>
        <v>350</v>
      </c>
      <c r="G75" s="59" t="n">
        <f aca="false">SUM(G70:G74)</f>
        <v>0</v>
      </c>
      <c r="H75" s="59" t="n">
        <f aca="false">SUM(H70:H74)</f>
        <v>0</v>
      </c>
      <c r="I75" s="59" t="n">
        <f aca="false">SUM(I70:I74)</f>
        <v>0</v>
      </c>
      <c r="J75" s="59" t="n">
        <f aca="false">SUM(J70:J74)</f>
        <v>0</v>
      </c>
      <c r="K75" s="60" t="n">
        <f aca="false">C75+D75+E75+F75+G75+H75+I75+J75</f>
        <v>11000</v>
      </c>
    </row>
    <row r="76" customFormat="false" ht="15" hidden="false" customHeight="false" outlineLevel="0" collapsed="false">
      <c r="B76" s="80" t="s">
        <v>88</v>
      </c>
      <c r="C76" s="80"/>
      <c r="D76" s="80"/>
      <c r="E76" s="80"/>
      <c r="F76" s="80"/>
      <c r="G76" s="80"/>
      <c r="H76" s="80"/>
      <c r="I76" s="80"/>
      <c r="J76" s="80"/>
      <c r="K76" s="80"/>
    </row>
    <row r="77" customFormat="false" ht="15.75" hidden="false" customHeight="true" outlineLevel="0" collapsed="false">
      <c r="C77" s="54"/>
      <c r="D77" s="54"/>
      <c r="E77" s="54"/>
      <c r="F77" s="54"/>
      <c r="G77" s="54"/>
      <c r="H77" s="54"/>
      <c r="I77" s="54"/>
      <c r="J77" s="54"/>
      <c r="K77" s="54"/>
    </row>
    <row r="78" customFormat="false" ht="28.5" hidden="false" customHeight="true" outlineLevel="0" collapsed="false">
      <c r="B78" s="81" t="s">
        <v>89</v>
      </c>
      <c r="C78" s="82" t="s">
        <v>42</v>
      </c>
      <c r="D78" s="82" t="s">
        <v>43</v>
      </c>
      <c r="E78" s="82" t="s">
        <v>44</v>
      </c>
      <c r="F78" s="82" t="s">
        <v>45</v>
      </c>
      <c r="G78" s="82" t="s">
        <v>46</v>
      </c>
      <c r="H78" s="82" t="s">
        <v>47</v>
      </c>
      <c r="I78" s="82" t="s">
        <v>48</v>
      </c>
      <c r="J78" s="82" t="s">
        <v>49</v>
      </c>
      <c r="K78" s="83" t="s">
        <v>63</v>
      </c>
    </row>
    <row r="79" customFormat="false" ht="15" hidden="false" customHeight="false" outlineLevel="0" collapsed="false">
      <c r="B79" s="84" t="s">
        <v>90</v>
      </c>
      <c r="C79" s="85" t="n">
        <v>2500</v>
      </c>
      <c r="D79" s="85" t="n">
        <v>1600</v>
      </c>
      <c r="E79" s="85" t="n">
        <v>750</v>
      </c>
      <c r="F79" s="85" t="n">
        <v>150</v>
      </c>
      <c r="G79" s="85"/>
      <c r="H79" s="85"/>
      <c r="I79" s="85"/>
      <c r="J79" s="85"/>
      <c r="K79" s="86" t="n">
        <f aca="false">C79+D79+E79+F79+G79+H79+I79+J79</f>
        <v>5000</v>
      </c>
    </row>
    <row r="80" customFormat="false" ht="15" hidden="false" customHeight="false" outlineLevel="0" collapsed="false">
      <c r="B80" s="63" t="s">
        <v>91</v>
      </c>
      <c r="C80" s="55"/>
      <c r="D80" s="55"/>
      <c r="E80" s="55"/>
      <c r="F80" s="55"/>
      <c r="G80" s="55"/>
      <c r="H80" s="55"/>
      <c r="I80" s="55"/>
      <c r="J80" s="55"/>
      <c r="K80" s="56" t="n">
        <f aca="false">C80+D80+E80+F80+G80+H80+I80+J80</f>
        <v>0</v>
      </c>
    </row>
    <row r="81" customFormat="false" ht="15" hidden="false" customHeight="false" outlineLevel="0" collapsed="false">
      <c r="B81" s="63" t="s">
        <v>92</v>
      </c>
      <c r="C81" s="55"/>
      <c r="D81" s="55"/>
      <c r="E81" s="55"/>
      <c r="F81" s="55"/>
      <c r="G81" s="55"/>
      <c r="H81" s="55"/>
      <c r="I81" s="55"/>
      <c r="J81" s="55"/>
      <c r="K81" s="56" t="n">
        <f aca="false">C81+D81+E81+F81+G81+H81+I81+J81</f>
        <v>0</v>
      </c>
    </row>
    <row r="82" customFormat="false" ht="15" hidden="false" customHeight="false" outlineLevel="0" collapsed="false">
      <c r="B82" s="44" t="s">
        <v>93</v>
      </c>
      <c r="C82" s="77" t="n">
        <f aca="false">C93</f>
        <v>0</v>
      </c>
      <c r="D82" s="77" t="n">
        <f aca="false">D93</f>
        <v>0</v>
      </c>
      <c r="E82" s="77" t="n">
        <f aca="false">E93</f>
        <v>0</v>
      </c>
      <c r="F82" s="77" t="n">
        <f aca="false">F93</f>
        <v>0</v>
      </c>
      <c r="G82" s="77" t="n">
        <f aca="false">G93</f>
        <v>0</v>
      </c>
      <c r="H82" s="77" t="n">
        <f aca="false">H93</f>
        <v>0</v>
      </c>
      <c r="I82" s="77" t="n">
        <f aca="false">I93</f>
        <v>0</v>
      </c>
      <c r="J82" s="77" t="n">
        <f aca="false">J93</f>
        <v>0</v>
      </c>
      <c r="K82" s="56" t="n">
        <f aca="false">C82+D82+E82+F82+G82+H82+I82+J82</f>
        <v>0</v>
      </c>
    </row>
    <row r="83" customFormat="false" ht="15.75" hidden="false" customHeight="true" outlineLevel="0" collapsed="false">
      <c r="B83" s="44" t="s">
        <v>94</v>
      </c>
      <c r="C83" s="78" t="n">
        <f aca="false">C102</f>
        <v>1600</v>
      </c>
      <c r="D83" s="78" t="n">
        <f aca="false">D102</f>
        <v>2600</v>
      </c>
      <c r="E83" s="78" t="n">
        <f aca="false">E102</f>
        <v>1600</v>
      </c>
      <c r="F83" s="78" t="n">
        <f aca="false">F102</f>
        <v>200</v>
      </c>
      <c r="G83" s="78" t="n">
        <f aca="false">G102</f>
        <v>0</v>
      </c>
      <c r="H83" s="78" t="n">
        <f aca="false">H102</f>
        <v>0</v>
      </c>
      <c r="I83" s="78" t="n">
        <f aca="false">I102</f>
        <v>0</v>
      </c>
      <c r="J83" s="78" t="n">
        <f aca="false">J102</f>
        <v>0</v>
      </c>
      <c r="K83" s="75" t="n">
        <f aca="false">C83+D83+E83+F83+G83+H83+I83+J83</f>
        <v>6000</v>
      </c>
    </row>
    <row r="84" customFormat="false" ht="16.5" hidden="false" customHeight="true" outlineLevel="0" collapsed="false">
      <c r="B84" s="87" t="s">
        <v>95</v>
      </c>
      <c r="C84" s="59" t="n">
        <f aca="false">SUM(C79:C83)</f>
        <v>4100</v>
      </c>
      <c r="D84" s="59" t="n">
        <f aca="false">SUM(D79:D83)</f>
        <v>4200</v>
      </c>
      <c r="E84" s="59" t="n">
        <f aca="false">SUM(E79:E83)</f>
        <v>2350</v>
      </c>
      <c r="F84" s="59" t="n">
        <f aca="false">SUM(F79:F83)</f>
        <v>350</v>
      </c>
      <c r="G84" s="59" t="n">
        <f aca="false">SUM(G79:G83)</f>
        <v>0</v>
      </c>
      <c r="H84" s="59" t="n">
        <f aca="false">SUM(H79:H83)</f>
        <v>0</v>
      </c>
      <c r="I84" s="59" t="n">
        <f aca="false">SUM(I79:I83)</f>
        <v>0</v>
      </c>
      <c r="J84" s="59" t="n">
        <f aca="false">SUM(J79:J83)</f>
        <v>0</v>
      </c>
      <c r="K84" s="60" t="n">
        <f aca="false">C84+D84+E84+F84+G84+H84+I84+J84</f>
        <v>11000</v>
      </c>
    </row>
    <row r="85" customFormat="false" ht="15.75" hidden="false" customHeight="true" outlineLevel="0" collapsed="false"/>
    <row r="86" customFormat="false" ht="30.75" hidden="false" customHeight="true" outlineLevel="0" collapsed="false">
      <c r="A86" s="61" t="s">
        <v>61</v>
      </c>
      <c r="B86" s="62" t="s">
        <v>93</v>
      </c>
      <c r="C86" s="62" t="s">
        <v>42</v>
      </c>
      <c r="D86" s="62" t="s">
        <v>43</v>
      </c>
      <c r="E86" s="62" t="s">
        <v>44</v>
      </c>
      <c r="F86" s="62" t="s">
        <v>45</v>
      </c>
      <c r="G86" s="62" t="s">
        <v>46</v>
      </c>
      <c r="H86" s="62" t="s">
        <v>47</v>
      </c>
      <c r="I86" s="62" t="s">
        <v>48</v>
      </c>
      <c r="J86" s="62" t="s">
        <v>49</v>
      </c>
      <c r="K86" s="62" t="s">
        <v>63</v>
      </c>
    </row>
    <row r="87" customFormat="false" ht="15" hidden="false" customHeight="false" outlineLevel="0" collapsed="false">
      <c r="B87" s="67"/>
      <c r="C87" s="55"/>
      <c r="D87" s="55"/>
      <c r="E87" s="55"/>
      <c r="F87" s="55"/>
      <c r="G87" s="55"/>
      <c r="H87" s="55"/>
      <c r="I87" s="55"/>
      <c r="J87" s="55"/>
      <c r="K87" s="56" t="n">
        <f aca="false">C87+D87+E87+F87+G87+H87+I87+J87</f>
        <v>0</v>
      </c>
    </row>
    <row r="88" customFormat="false" ht="15" hidden="false" customHeight="false" outlineLevel="0" collapsed="false">
      <c r="B88" s="67"/>
      <c r="C88" s="55"/>
      <c r="D88" s="55"/>
      <c r="E88" s="55"/>
      <c r="F88" s="55"/>
      <c r="G88" s="55"/>
      <c r="H88" s="55"/>
      <c r="I88" s="55"/>
      <c r="J88" s="55"/>
      <c r="K88" s="56" t="n">
        <f aca="false">C88+D88+E88+F88+G88+H88+I88+J88</f>
        <v>0</v>
      </c>
    </row>
    <row r="89" customFormat="false" ht="15" hidden="false" customHeight="false" outlineLevel="0" collapsed="false">
      <c r="B89" s="67"/>
      <c r="C89" s="55"/>
      <c r="D89" s="55"/>
      <c r="E89" s="55"/>
      <c r="F89" s="55"/>
      <c r="G89" s="55"/>
      <c r="H89" s="55"/>
      <c r="I89" s="55"/>
      <c r="J89" s="55"/>
      <c r="K89" s="56" t="n">
        <f aca="false">C89+D89+E89+F89+G89+H89+I89+J89</f>
        <v>0</v>
      </c>
    </row>
    <row r="90" customFormat="false" ht="15" hidden="false" customHeight="false" outlineLevel="0" collapsed="false">
      <c r="B90" s="67"/>
      <c r="C90" s="55"/>
      <c r="D90" s="55"/>
      <c r="E90" s="55"/>
      <c r="F90" s="55"/>
      <c r="G90" s="55"/>
      <c r="H90" s="55"/>
      <c r="I90" s="55"/>
      <c r="J90" s="55"/>
      <c r="K90" s="56" t="n">
        <f aca="false">C90+D90+E90+F90+G90+H90+I90+J90</f>
        <v>0</v>
      </c>
    </row>
    <row r="91" customFormat="false" ht="15" hidden="false" customHeight="false" outlineLevel="0" collapsed="false">
      <c r="B91" s="67"/>
      <c r="C91" s="55"/>
      <c r="D91" s="55"/>
      <c r="E91" s="55"/>
      <c r="F91" s="55"/>
      <c r="G91" s="55"/>
      <c r="H91" s="55"/>
      <c r="I91" s="55"/>
      <c r="J91" s="55"/>
      <c r="K91" s="56" t="n">
        <f aca="false">C91+D91+E91+F91+G91+H91+I91+J91</f>
        <v>0</v>
      </c>
    </row>
    <row r="92" customFormat="false" ht="15.75" hidden="false" customHeight="true" outlineLevel="0" collapsed="false">
      <c r="B92" s="67"/>
      <c r="C92" s="70"/>
      <c r="D92" s="70"/>
      <c r="E92" s="70"/>
      <c r="F92" s="70"/>
      <c r="G92" s="70"/>
      <c r="H92" s="70"/>
      <c r="I92" s="70"/>
      <c r="J92" s="70"/>
      <c r="K92" s="75" t="n">
        <f aca="false">C92+D92+E92+F92+G92+H92+I92+J92</f>
        <v>0</v>
      </c>
    </row>
    <row r="93" customFormat="false" ht="16.5" hidden="false" customHeight="true" outlineLevel="0" collapsed="false">
      <c r="B93" s="79" t="s">
        <v>67</v>
      </c>
      <c r="C93" s="59" t="n">
        <f aca="false">SUM(C87:C92)</f>
        <v>0</v>
      </c>
      <c r="D93" s="59" t="n">
        <f aca="false">SUM(D87:D92)</f>
        <v>0</v>
      </c>
      <c r="E93" s="59" t="n">
        <f aca="false">SUM(E87:E92)</f>
        <v>0</v>
      </c>
      <c r="F93" s="59" t="n">
        <f aca="false">SUM(F87:F92)</f>
        <v>0</v>
      </c>
      <c r="G93" s="59" t="n">
        <f aca="false">SUM(G87:G92)</f>
        <v>0</v>
      </c>
      <c r="H93" s="59" t="n">
        <f aca="false">SUM(H87:H92)</f>
        <v>0</v>
      </c>
      <c r="I93" s="59" t="n">
        <f aca="false">SUM(I87:I92)</f>
        <v>0</v>
      </c>
      <c r="J93" s="59" t="n">
        <f aca="false">SUM(J87:J92)</f>
        <v>0</v>
      </c>
      <c r="K93" s="60" t="n">
        <f aca="false">C93+D93+E93+F93+G93+H93+I93+J93</f>
        <v>0</v>
      </c>
    </row>
    <row r="94" customFormat="false" ht="15.75" hidden="false" customHeight="true" outlineLevel="0" collapsed="false"/>
    <row r="95" customFormat="false" ht="30.75" hidden="false" customHeight="true" outlineLevel="0" collapsed="false">
      <c r="A95" s="61" t="s">
        <v>61</v>
      </c>
      <c r="B95" s="62" t="s">
        <v>94</v>
      </c>
      <c r="C95" s="62" t="s">
        <v>42</v>
      </c>
      <c r="D95" s="62" t="s">
        <v>43</v>
      </c>
      <c r="E95" s="62" t="s">
        <v>44</v>
      </c>
      <c r="F95" s="62" t="s">
        <v>45</v>
      </c>
      <c r="G95" s="62" t="s">
        <v>46</v>
      </c>
      <c r="H95" s="62" t="s">
        <v>47</v>
      </c>
      <c r="I95" s="62" t="s">
        <v>48</v>
      </c>
      <c r="J95" s="62" t="s">
        <v>49</v>
      </c>
      <c r="K95" s="62" t="s">
        <v>63</v>
      </c>
    </row>
    <row r="96" customFormat="false" ht="23.85" hidden="false" customHeight="false" outlineLevel="0" collapsed="false">
      <c r="B96" s="72" t="s">
        <v>96</v>
      </c>
      <c r="C96" s="55"/>
      <c r="D96" s="55" t="n">
        <v>2000</v>
      </c>
      <c r="E96" s="55"/>
      <c r="F96" s="55"/>
      <c r="G96" s="55"/>
      <c r="H96" s="55"/>
      <c r="I96" s="55"/>
      <c r="J96" s="55"/>
      <c r="K96" s="56" t="n">
        <f aca="false">C96+D96+E96+F96+G96+H96+I96+J96</f>
        <v>2000</v>
      </c>
    </row>
    <row r="97" customFormat="false" ht="23.85" hidden="false" customHeight="false" outlineLevel="0" collapsed="false">
      <c r="B97" s="72" t="s">
        <v>97</v>
      </c>
      <c r="C97" s="55" t="n">
        <v>600</v>
      </c>
      <c r="D97" s="55" t="n">
        <v>600</v>
      </c>
      <c r="E97" s="55" t="n">
        <v>600</v>
      </c>
      <c r="F97" s="55" t="n">
        <v>200</v>
      </c>
      <c r="G97" s="55"/>
      <c r="H97" s="55"/>
      <c r="I97" s="55"/>
      <c r="J97" s="55"/>
      <c r="K97" s="56" t="n">
        <f aca="false">C97+D97+E97+F97+G97+H97+I97+J97</f>
        <v>2000</v>
      </c>
    </row>
    <row r="98" customFormat="false" ht="23.85" hidden="false" customHeight="false" outlineLevel="0" collapsed="false">
      <c r="B98" s="72" t="s">
        <v>98</v>
      </c>
      <c r="C98" s="55"/>
      <c r="D98" s="55"/>
      <c r="E98" s="55" t="n">
        <v>1000</v>
      </c>
      <c r="F98" s="55"/>
      <c r="G98" s="55"/>
      <c r="H98" s="55"/>
      <c r="I98" s="55"/>
      <c r="J98" s="55"/>
      <c r="K98" s="56" t="n">
        <f aca="false">C98+D98+E98+F98+G98+H98+I98+J98</f>
        <v>1000</v>
      </c>
    </row>
    <row r="99" customFormat="false" ht="15" hidden="false" customHeight="false" outlineLevel="0" collapsed="false">
      <c r="B99" s="72" t="s">
        <v>99</v>
      </c>
      <c r="C99" s="55" t="n">
        <v>1000</v>
      </c>
      <c r="D99" s="55"/>
      <c r="E99" s="55"/>
      <c r="F99" s="55"/>
      <c r="G99" s="55"/>
      <c r="H99" s="55"/>
      <c r="I99" s="55"/>
      <c r="J99" s="55"/>
      <c r="K99" s="56" t="n">
        <f aca="false">C99+D99+E99+F99+G99+H99+I99+J99</f>
        <v>1000</v>
      </c>
    </row>
    <row r="100" customFormat="false" ht="15" hidden="false" customHeight="false" outlineLevel="0" collapsed="false">
      <c r="B100" s="72"/>
      <c r="C100" s="55"/>
      <c r="D100" s="55"/>
      <c r="E100" s="55"/>
      <c r="F100" s="55"/>
      <c r="G100" s="55"/>
      <c r="H100" s="55"/>
      <c r="I100" s="55"/>
      <c r="J100" s="55"/>
      <c r="K100" s="56" t="n">
        <f aca="false">C100+D100+E100+F100+G100+H100+I100+J100</f>
        <v>0</v>
      </c>
    </row>
    <row r="101" customFormat="false" ht="15.75" hidden="false" customHeight="true" outlineLevel="0" collapsed="false">
      <c r="B101" s="72"/>
      <c r="C101" s="70"/>
      <c r="D101" s="70"/>
      <c r="E101" s="70"/>
      <c r="F101" s="70"/>
      <c r="G101" s="70"/>
      <c r="H101" s="70"/>
      <c r="I101" s="70"/>
      <c r="J101" s="70"/>
      <c r="K101" s="75" t="n">
        <f aca="false">C101+D101+E101+F101+G101+H101+I101+J101</f>
        <v>0</v>
      </c>
    </row>
    <row r="102" customFormat="false" ht="16.5" hidden="false" customHeight="true" outlineLevel="0" collapsed="false">
      <c r="B102" s="79" t="s">
        <v>67</v>
      </c>
      <c r="C102" s="59" t="n">
        <f aca="false">SUM(C96:C101)</f>
        <v>1600</v>
      </c>
      <c r="D102" s="59" t="n">
        <f aca="false">SUM(D96:D101)</f>
        <v>2600</v>
      </c>
      <c r="E102" s="59" t="n">
        <f aca="false">SUM(E96:E101)</f>
        <v>1600</v>
      </c>
      <c r="F102" s="59" t="n">
        <f aca="false">SUM(F96:F101)</f>
        <v>200</v>
      </c>
      <c r="G102" s="59" t="n">
        <f aca="false">SUM(G96:G101)</f>
        <v>0</v>
      </c>
      <c r="H102" s="59" t="n">
        <f aca="false">SUM(H96:H101)</f>
        <v>0</v>
      </c>
      <c r="I102" s="59" t="n">
        <f aca="false">SUM(I96:I101)</f>
        <v>0</v>
      </c>
      <c r="J102" s="59" t="n">
        <f aca="false">SUM(J96:J101)</f>
        <v>0</v>
      </c>
      <c r="K102" s="60" t="n">
        <f aca="false">SUM(K96:K101)</f>
        <v>6000</v>
      </c>
    </row>
    <row r="103" customFormat="false" ht="15" hidden="false" customHeight="false" outlineLevel="0" collapsed="false">
      <c r="C103" s="54"/>
      <c r="D103" s="54"/>
      <c r="E103" s="54"/>
      <c r="F103" s="54"/>
      <c r="G103" s="54"/>
      <c r="H103" s="54"/>
      <c r="I103" s="54"/>
      <c r="J103" s="54"/>
      <c r="K103" s="54"/>
    </row>
    <row r="104" customFormat="false" ht="15" hidden="false" customHeight="false" outlineLevel="0" collapsed="false">
      <c r="C104" s="54"/>
      <c r="D104" s="54"/>
      <c r="E104" s="54"/>
      <c r="F104" s="54"/>
      <c r="G104" s="54"/>
      <c r="H104" s="54"/>
      <c r="I104" s="54"/>
      <c r="J104" s="54"/>
      <c r="K104" s="54"/>
    </row>
  </sheetData>
  <sheetProtection algorithmName="SHA-512" hashValue="FVt2ANcgrMdBlJE1WEPYENa8ks5jVoyTcUIScQTTEiosYBNjoYYCyRnuvA0mCxDVL9+DSze1QUYWWq6+6FbIDg==" saltValue="zQaXK0IjEavqQaDmvaA37w==" spinCount="100000" sheet="true" objects="true" scenarios="true"/>
  <mergeCells count="7">
    <mergeCell ref="B1:K1"/>
    <mergeCell ref="C2:K2"/>
    <mergeCell ref="C3:K3"/>
    <mergeCell ref="C4:K4"/>
    <mergeCell ref="C6:K6"/>
    <mergeCell ref="C7:K7"/>
    <mergeCell ref="B76:K76"/>
  </mergeCells>
  <dataValidations count="9">
    <dataValidation allowBlank="true" errorStyle="stop" operator="between" prompt="Vul hier de gegevens van je activiteit in." promptTitle="Activiteiten" showDropDown="false" showErrorMessage="false" showInputMessage="true" sqref="C10:J12" type="custom">
      <formula1>1</formula1>
      <formula2>0</formula2>
    </dataValidation>
    <dataValidation allowBlank="true" errorStyle="stop" operator="between" prompt="Vul alleen de witte vakken in. De gele vakken worden automatisch berekend." promptTitle="Personeelskosten" showDropDown="false" showErrorMessage="false" showInputMessage="true" sqref="C15:J17" type="custom">
      <formula1>1</formula1>
      <formula2>0</formula2>
    </dataValidation>
    <dataValidation allowBlank="true" errorStyle="stop" operator="between" prompt="Vul het aantal uren en het gemiddelde uurtarief in." promptTitle="Inhuur" showDropDown="false" showErrorMessage="false" showInputMessage="true" sqref="C21:J22" type="custom">
      <formula1>1</formula1>
      <formula2>0</formula2>
    </dataValidation>
    <dataValidation allowBlank="true" errorStyle="stop" operator="between" prompt="Vul alleen kosten in die nodig zijn voor de activiteit." promptTitle="Huisvestingskosten" showDropDown="false" showErrorMessage="false" showInputMessage="true" sqref="B26:J35" type="custom">
      <formula1>1</formula1>
      <formula2>0</formula2>
    </dataValidation>
    <dataValidation allowBlank="true" errorStyle="stop" operator="between" prompt="Vul algemene kosten van je organisatie in." promptTitle="Organisatiekosten" showDropDown="false" showErrorMessage="false" showInputMessage="true" sqref="B39:J53" type="custom">
      <formula1>1</formula1>
      <formula2>0</formula2>
    </dataValidation>
    <dataValidation allowBlank="true" errorStyle="stop" operator="between" prompt="Vul kosten in die direct bij de activiteit horen." promptTitle="Activiteitenkosten" showDropDown="false" showErrorMessage="false" showInputMessage="true" sqref="B57:J66" type="custom">
      <formula1>1</formula1>
      <formula2>0</formula2>
    </dataValidation>
    <dataValidation allowBlank="true" errorStyle="stop" operator="between" prompt="Vul inkomsten in die bijdragen aan de activiteit." promptTitle="Inkomsten" showDropDown="false" showErrorMessage="false" showInputMessage="true" sqref="C79:J81" type="custom">
      <formula1>1</formula1>
      <formula2>0</formula2>
    </dataValidation>
    <dataValidation allowBlank="true" errorStyle="stop" operator="between" prompt="Geef aan van wie je subsidie krijgt en welk bedrag." promptTitle="Andere subsidies" showDropDown="false" showErrorMessage="false" showInputMessage="true" sqref="B87:J92" type="custom">
      <formula1>1</formula1>
      <formula2>0</formula2>
    </dataValidation>
    <dataValidation allowBlank="true" errorStyle="stop" operator="between" prompt="Geef aan waar de inkomsten vandaan komen en welk bedrag." promptTitle="Overige inkomsten" showDropDown="false" showErrorMessage="false" showInputMessage="true" sqref="B96:J101" type="custom">
      <formula1>1</formula1>
      <formula2>0</formula2>
    </dataValidation>
  </dataValidations>
  <printOptions headings="false" gridLines="false" gridLinesSet="true" horizontalCentered="false" verticalCentered="false"/>
  <pageMargins left="0.747916666666667" right="0.747916666666667" top="0.984027777777778" bottom="0.984027777777778" header="0.511811023622047" footer="0.511811023622047"/>
  <pageSetup paperSize="8" scale="100" fitToWidth="1" fitToHeight="0" pageOrder="downThenOver" orientation="portrait" blackAndWhite="false" draft="false" cellComments="none" horizontalDpi="300" verticalDpi="300" copies="1"/>
  <headerFooter differentFirst="false" differentOddEven="false">
    <oddHeader/>
    <oddFooter/>
  </headerFooter>
  <rowBreaks count="1" manualBreakCount="1">
    <brk id="77" man="true" max="16383" min="0"/>
  </rowBreak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K38"/>
  <sheetViews>
    <sheetView showFormulas="false" showGridLines="false" showRowColHeaders="true" showZeros="true" rightToLeft="false" tabSelected="false" showOutlineSymbols="true" defaultGridColor="true" view="normal" topLeftCell="A11" colorId="64" zoomScale="100" zoomScaleNormal="100" zoomScalePageLayoutView="100" workbookViewId="0">
      <selection pane="topLeft" activeCell="C25" activeCellId="0" sqref="C25"/>
    </sheetView>
  </sheetViews>
  <sheetFormatPr defaultColWidth="8.6796875" defaultRowHeight="15" customHeight="false" zeroHeight="false" outlineLevelRow="0" outlineLevelCol="0"/>
  <cols>
    <col collapsed="false" customWidth="true" hidden="false" outlineLevel="0" max="1" min="1" style="0" width="3.57"/>
    <col collapsed="false" customWidth="true" hidden="false" outlineLevel="0" max="2" min="2" style="0" width="44.71"/>
    <col collapsed="false" customWidth="true" hidden="false" outlineLevel="0" max="11" min="3" style="0" width="15.71"/>
  </cols>
  <sheetData>
    <row r="1" customFormat="false" ht="15" hidden="false" customHeight="true" outlineLevel="0" collapsed="false">
      <c r="B1" s="88" t="s">
        <v>100</v>
      </c>
      <c r="C1" s="88"/>
      <c r="D1" s="88"/>
      <c r="E1" s="88"/>
      <c r="F1" s="88"/>
      <c r="G1" s="88"/>
      <c r="H1" s="88"/>
      <c r="I1" s="88"/>
      <c r="J1" s="88"/>
      <c r="K1" s="88"/>
    </row>
    <row r="2" customFormat="false" ht="15.75" hidden="false" customHeight="true" outlineLevel="0" collapsed="false">
      <c r="B2" s="88"/>
      <c r="C2" s="88"/>
      <c r="D2" s="88"/>
      <c r="E2" s="88"/>
      <c r="F2" s="88"/>
      <c r="G2" s="88"/>
      <c r="H2" s="88"/>
      <c r="I2" s="88"/>
      <c r="J2" s="88"/>
      <c r="K2" s="88"/>
    </row>
    <row r="3" customFormat="false" ht="36" hidden="false" customHeight="true" outlineLevel="0" collapsed="false">
      <c r="B3" s="89" t="s">
        <v>101</v>
      </c>
      <c r="C3" s="89"/>
      <c r="D3" s="89"/>
      <c r="E3" s="89"/>
      <c r="F3" s="89"/>
      <c r="G3" s="89"/>
      <c r="H3" s="89"/>
      <c r="I3" s="89"/>
      <c r="J3" s="89"/>
      <c r="K3" s="89"/>
    </row>
    <row r="4" customFormat="false" ht="36" hidden="false" customHeight="true" outlineLevel="0" collapsed="false">
      <c r="B4" s="90"/>
    </row>
    <row r="5" customFormat="false" ht="36" hidden="false" customHeight="true" outlineLevel="0" collapsed="false">
      <c r="B5" s="35" t="s">
        <v>37</v>
      </c>
      <c r="C5" s="28" t="str">
        <f aca="false">'Begroting per activiteit'!C6</f>
        <v>Stichting Wielerevenementen Aalburg (handelsnaam Velo Vital)</v>
      </c>
      <c r="D5" s="28"/>
      <c r="E5" s="28"/>
      <c r="F5" s="28"/>
      <c r="G5" s="28"/>
      <c r="H5" s="28"/>
      <c r="I5" s="28"/>
      <c r="J5" s="28"/>
      <c r="K5" s="28"/>
    </row>
    <row r="6" customFormat="false" ht="36" hidden="false" customHeight="true" outlineLevel="0" collapsed="false">
      <c r="B6" s="35" t="s">
        <v>39</v>
      </c>
      <c r="C6" s="28" t="str">
        <f aca="false">'Begroting per activiteit'!C7</f>
        <v>Velo Vital Breda - startronde leenfiets en fietsgroep voor vrouwen</v>
      </c>
      <c r="D6" s="28"/>
      <c r="E6" s="28"/>
      <c r="F6" s="28"/>
      <c r="G6" s="28"/>
      <c r="H6" s="28"/>
      <c r="I6" s="28"/>
      <c r="J6" s="28"/>
      <c r="K6" s="28"/>
    </row>
    <row r="7" customFormat="false" ht="36" hidden="false" customHeight="true" outlineLevel="0" collapsed="false">
      <c r="B7" s="90"/>
    </row>
    <row r="8" customFormat="false" ht="15" hidden="false" customHeight="false" outlineLevel="0" collapsed="false">
      <c r="B8" s="91" t="s">
        <v>102</v>
      </c>
      <c r="C8" s="38" t="s">
        <v>42</v>
      </c>
      <c r="D8" s="39" t="s">
        <v>43</v>
      </c>
      <c r="E8" s="39" t="s">
        <v>44</v>
      </c>
      <c r="F8" s="39" t="s">
        <v>45</v>
      </c>
      <c r="G8" s="39" t="s">
        <v>46</v>
      </c>
      <c r="H8" s="39" t="s">
        <v>47</v>
      </c>
      <c r="I8" s="39" t="s">
        <v>48</v>
      </c>
      <c r="J8" s="39" t="s">
        <v>49</v>
      </c>
      <c r="K8" s="40" t="s">
        <v>63</v>
      </c>
    </row>
    <row r="9" customFormat="false" ht="54.75" hidden="false" customHeight="true" outlineLevel="0" collapsed="false">
      <c r="B9" s="92" t="s">
        <v>50</v>
      </c>
      <c r="C9" s="93" t="str">
        <f aca="false">'Begroting per activiteit'!C10</f>
        <v>Werving, campagne en intake van deelnemers</v>
      </c>
      <c r="D9" s="93" t="str">
        <f aca="false">'Begroting per activiteit'!D10</f>
        <v>Leenfietsen beschikbaar stellen, afstellen en onderhouden</v>
      </c>
      <c r="E9" s="93" t="str">
        <f aca="false">'Begroting per activiteit'!E10</f>
        <v>Begeleide fietsgroep: kennismakingsritten en vaste fietsmomenten</v>
      </c>
      <c r="F9" s="93" t="str">
        <f aca="false">'Begroting per activiteit'!F10</f>
        <v>Doorstroom naar zelfstandig fietsen, monitoring en eindrapportage</v>
      </c>
      <c r="G9" s="93" t="n">
        <f aca="false">'Begroting per activiteit'!G10</f>
        <v>0</v>
      </c>
      <c r="H9" s="93" t="n">
        <f aca="false">'Begroting per activiteit'!H10</f>
        <v>0</v>
      </c>
      <c r="I9" s="93" t="n">
        <f aca="false">'Begroting per activiteit'!I10</f>
        <v>0</v>
      </c>
      <c r="J9" s="93" t="n">
        <f aca="false">'Begroting per activiteit'!J10</f>
        <v>0</v>
      </c>
      <c r="K9" s="94"/>
    </row>
    <row r="10" customFormat="false" ht="15" hidden="false" customHeight="false" outlineLevel="0" collapsed="false">
      <c r="B10" s="95" t="s">
        <v>86</v>
      </c>
      <c r="C10" s="77" t="n">
        <f aca="false">'Begroting per activiteit'!C70</f>
        <v>0</v>
      </c>
      <c r="D10" s="77" t="n">
        <f aca="false">'Begroting per activiteit'!D70</f>
        <v>0</v>
      </c>
      <c r="E10" s="77" t="n">
        <f aca="false">'Begroting per activiteit'!E70</f>
        <v>0</v>
      </c>
      <c r="F10" s="77" t="n">
        <f aca="false">'Begroting per activiteit'!F70</f>
        <v>0</v>
      </c>
      <c r="G10" s="77" t="n">
        <f aca="false">'Begroting per activiteit'!G70</f>
        <v>0</v>
      </c>
      <c r="H10" s="77" t="n">
        <f aca="false">'Begroting per activiteit'!H70</f>
        <v>0</v>
      </c>
      <c r="I10" s="77" t="n">
        <f aca="false">'Begroting per activiteit'!I70</f>
        <v>0</v>
      </c>
      <c r="J10" s="77" t="n">
        <f aca="false">'Begroting per activiteit'!J70</f>
        <v>0</v>
      </c>
      <c r="K10" s="56" t="n">
        <f aca="false">C10+D10+E10+F10+G10+H10+I10+J10</f>
        <v>0</v>
      </c>
    </row>
    <row r="11" customFormat="false" ht="15" hidden="false" customHeight="false" outlineLevel="0" collapsed="false">
      <c r="B11" s="95" t="s">
        <v>68</v>
      </c>
      <c r="C11" s="77" t="n">
        <f aca="false">'Begroting per activiteit'!C71</f>
        <v>0</v>
      </c>
      <c r="D11" s="77" t="n">
        <f aca="false">'Begroting per activiteit'!D71</f>
        <v>0</v>
      </c>
      <c r="E11" s="77" t="n">
        <f aca="false">'Begroting per activiteit'!E71</f>
        <v>0</v>
      </c>
      <c r="F11" s="77" t="n">
        <f aca="false">'Begroting per activiteit'!F71</f>
        <v>0</v>
      </c>
      <c r="G11" s="77" t="n">
        <f aca="false">'Begroting per activiteit'!G71</f>
        <v>0</v>
      </c>
      <c r="H11" s="77" t="n">
        <f aca="false">'Begroting per activiteit'!H71</f>
        <v>0</v>
      </c>
      <c r="I11" s="77" t="n">
        <f aca="false">'Begroting per activiteit'!I71</f>
        <v>0</v>
      </c>
      <c r="J11" s="77" t="n">
        <f aca="false">'Begroting per activiteit'!J71</f>
        <v>0</v>
      </c>
      <c r="K11" s="56" t="n">
        <f aca="false">C11+D11+E11+F11+G11+H11+I11+J11</f>
        <v>0</v>
      </c>
    </row>
    <row r="12" customFormat="false" ht="15" hidden="false" customHeight="false" outlineLevel="0" collapsed="false">
      <c r="B12" s="95" t="s">
        <v>71</v>
      </c>
      <c r="C12" s="77" t="n">
        <f aca="false">'Begroting per activiteit'!C72</f>
        <v>0</v>
      </c>
      <c r="D12" s="77" t="n">
        <f aca="false">'Begroting per activiteit'!D72</f>
        <v>0</v>
      </c>
      <c r="E12" s="77" t="n">
        <f aca="false">'Begroting per activiteit'!E72</f>
        <v>0</v>
      </c>
      <c r="F12" s="77" t="n">
        <f aca="false">'Begroting per activiteit'!F72</f>
        <v>0</v>
      </c>
      <c r="G12" s="77" t="n">
        <f aca="false">'Begroting per activiteit'!G72</f>
        <v>0</v>
      </c>
      <c r="H12" s="77" t="n">
        <f aca="false">'Begroting per activiteit'!H72</f>
        <v>0</v>
      </c>
      <c r="I12" s="77" t="n">
        <f aca="false">'Begroting per activiteit'!I72</f>
        <v>0</v>
      </c>
      <c r="J12" s="77" t="n">
        <f aca="false">'Begroting per activiteit'!J72</f>
        <v>0</v>
      </c>
      <c r="K12" s="56" t="n">
        <f aca="false">C12+D12+E12+F12+G12+H12+I12+J12</f>
        <v>0</v>
      </c>
    </row>
    <row r="13" customFormat="false" ht="15" hidden="false" customHeight="false" outlineLevel="0" collapsed="false">
      <c r="B13" s="95" t="s">
        <v>72</v>
      </c>
      <c r="C13" s="77" t="n">
        <f aca="false">'Begroting per activiteit'!C73</f>
        <v>4100</v>
      </c>
      <c r="D13" s="77" t="n">
        <f aca="false">'Begroting per activiteit'!D73</f>
        <v>600</v>
      </c>
      <c r="E13" s="77" t="n">
        <f aca="false">'Begroting per activiteit'!E73</f>
        <v>600</v>
      </c>
      <c r="F13" s="77" t="n">
        <f aca="false">'Begroting per activiteit'!F73</f>
        <v>350</v>
      </c>
      <c r="G13" s="77" t="n">
        <f aca="false">'Begroting per activiteit'!G73</f>
        <v>0</v>
      </c>
      <c r="H13" s="77" t="n">
        <f aca="false">'Begroting per activiteit'!H73</f>
        <v>0</v>
      </c>
      <c r="I13" s="77" t="n">
        <f aca="false">'Begroting per activiteit'!I73</f>
        <v>0</v>
      </c>
      <c r="J13" s="77" t="n">
        <f aca="false">'Begroting per activiteit'!J73</f>
        <v>0</v>
      </c>
      <c r="K13" s="56" t="n">
        <f aca="false">C13+D13+E13+F13+G13+H13+I13+J13</f>
        <v>5650</v>
      </c>
    </row>
    <row r="14" customFormat="false" ht="15.75" hidden="false" customHeight="true" outlineLevel="0" collapsed="false">
      <c r="B14" s="96" t="s">
        <v>79</v>
      </c>
      <c r="C14" s="78" t="n">
        <f aca="false">'Begroting per activiteit'!C74</f>
        <v>0</v>
      </c>
      <c r="D14" s="78" t="n">
        <f aca="false">'Begroting per activiteit'!D74</f>
        <v>3600</v>
      </c>
      <c r="E14" s="78" t="n">
        <f aca="false">'Begroting per activiteit'!E74</f>
        <v>1750</v>
      </c>
      <c r="F14" s="78" t="n">
        <f aca="false">'Begroting per activiteit'!F74</f>
        <v>0</v>
      </c>
      <c r="G14" s="78" t="n">
        <f aca="false">'Begroting per activiteit'!G74</f>
        <v>0</v>
      </c>
      <c r="H14" s="78" t="n">
        <f aca="false">'Begroting per activiteit'!H74</f>
        <v>0</v>
      </c>
      <c r="I14" s="78" t="n">
        <f aca="false">'Begroting per activiteit'!I74</f>
        <v>0</v>
      </c>
      <c r="J14" s="78" t="n">
        <f aca="false">'Begroting per activiteit'!J74</f>
        <v>0</v>
      </c>
      <c r="K14" s="75" t="n">
        <f aca="false">C14+D14+E14+F14+G14+H14+I14+J14</f>
        <v>5350</v>
      </c>
    </row>
    <row r="15" customFormat="false" ht="16.5" hidden="false" customHeight="true" outlineLevel="0" collapsed="false">
      <c r="B15" s="97" t="s">
        <v>87</v>
      </c>
      <c r="C15" s="98" t="n">
        <f aca="false">SUM(C10:C14)</f>
        <v>4100</v>
      </c>
      <c r="D15" s="98" t="n">
        <f aca="false">SUM(D10:D14)</f>
        <v>4200</v>
      </c>
      <c r="E15" s="98" t="n">
        <f aca="false">SUM(E10:E14)</f>
        <v>2350</v>
      </c>
      <c r="F15" s="98" t="n">
        <f aca="false">SUM(F10:F14)</f>
        <v>350</v>
      </c>
      <c r="G15" s="98" t="n">
        <f aca="false">SUM(G10:G14)</f>
        <v>0</v>
      </c>
      <c r="H15" s="98" t="n">
        <f aca="false">SUM(H10:H14)</f>
        <v>0</v>
      </c>
      <c r="I15" s="98" t="n">
        <f aca="false">SUM(I10:I14)</f>
        <v>0</v>
      </c>
      <c r="J15" s="98" t="n">
        <f aca="false">SUM(J10:J14)</f>
        <v>0</v>
      </c>
      <c r="K15" s="99" t="n">
        <f aca="false">SUM(K10:K14)</f>
        <v>11000</v>
      </c>
    </row>
    <row r="16" customFormat="false" ht="15.75" hidden="false" customHeight="true" outlineLevel="0" collapsed="false">
      <c r="B16" s="25"/>
      <c r="C16" s="100"/>
      <c r="D16" s="100"/>
      <c r="E16" s="100"/>
      <c r="F16" s="100"/>
      <c r="G16" s="100"/>
      <c r="H16" s="100"/>
      <c r="I16" s="100"/>
      <c r="J16" s="100"/>
      <c r="K16" s="100"/>
    </row>
    <row r="17" customFormat="false" ht="15" hidden="false" customHeight="false" outlineLevel="0" collapsed="false">
      <c r="B17" s="91" t="s">
        <v>89</v>
      </c>
      <c r="C17" s="38" t="s">
        <v>42</v>
      </c>
      <c r="D17" s="39" t="s">
        <v>43</v>
      </c>
      <c r="E17" s="39" t="s">
        <v>44</v>
      </c>
      <c r="F17" s="39" t="s">
        <v>45</v>
      </c>
      <c r="G17" s="39" t="s">
        <v>46</v>
      </c>
      <c r="H17" s="39" t="s">
        <v>47</v>
      </c>
      <c r="I17" s="39" t="s">
        <v>48</v>
      </c>
      <c r="J17" s="39" t="s">
        <v>49</v>
      </c>
      <c r="K17" s="40" t="s">
        <v>63</v>
      </c>
    </row>
    <row r="18" customFormat="false" ht="15" hidden="false" customHeight="false" outlineLevel="0" collapsed="false">
      <c r="B18" s="95" t="s">
        <v>90</v>
      </c>
      <c r="C18" s="77" t="n">
        <f aca="false">'Begroting per activiteit'!C79</f>
        <v>2500</v>
      </c>
      <c r="D18" s="77" t="n">
        <f aca="false">'Begroting per activiteit'!D79</f>
        <v>1600</v>
      </c>
      <c r="E18" s="77" t="n">
        <f aca="false">'Begroting per activiteit'!E79</f>
        <v>750</v>
      </c>
      <c r="F18" s="77" t="n">
        <f aca="false">'Begroting per activiteit'!F79</f>
        <v>150</v>
      </c>
      <c r="G18" s="77" t="n">
        <f aca="false">'Begroting per activiteit'!G79</f>
        <v>0</v>
      </c>
      <c r="H18" s="77" t="n">
        <f aca="false">'Begroting per activiteit'!H79</f>
        <v>0</v>
      </c>
      <c r="I18" s="77" t="n">
        <f aca="false">'Begroting per activiteit'!I79</f>
        <v>0</v>
      </c>
      <c r="J18" s="77" t="n">
        <f aca="false">'Begroting per activiteit'!J79</f>
        <v>0</v>
      </c>
      <c r="K18" s="56" t="n">
        <f aca="false">C18+D18+E18+F18+G18+H18+I18+J18</f>
        <v>5000</v>
      </c>
    </row>
    <row r="19" customFormat="false" ht="15" hidden="false" customHeight="false" outlineLevel="0" collapsed="false">
      <c r="B19" s="95" t="s">
        <v>91</v>
      </c>
      <c r="C19" s="77" t="n">
        <f aca="false">'Begroting per activiteit'!C80</f>
        <v>0</v>
      </c>
      <c r="D19" s="77" t="n">
        <f aca="false">'Begroting per activiteit'!D80</f>
        <v>0</v>
      </c>
      <c r="E19" s="77" t="n">
        <f aca="false">'Begroting per activiteit'!E80</f>
        <v>0</v>
      </c>
      <c r="F19" s="77" t="n">
        <f aca="false">'Begroting per activiteit'!F80</f>
        <v>0</v>
      </c>
      <c r="G19" s="77" t="n">
        <f aca="false">'Begroting per activiteit'!G80</f>
        <v>0</v>
      </c>
      <c r="H19" s="77" t="n">
        <f aca="false">'Begroting per activiteit'!H80</f>
        <v>0</v>
      </c>
      <c r="I19" s="77" t="n">
        <f aca="false">'Begroting per activiteit'!I80</f>
        <v>0</v>
      </c>
      <c r="J19" s="77" t="n">
        <f aca="false">'Begroting per activiteit'!J80</f>
        <v>0</v>
      </c>
      <c r="K19" s="56" t="n">
        <f aca="false">C19+D19+E19+F19+G19+H19+I19+J19</f>
        <v>0</v>
      </c>
    </row>
    <row r="20" customFormat="false" ht="15" hidden="false" customHeight="false" outlineLevel="0" collapsed="false">
      <c r="B20" s="95" t="s">
        <v>92</v>
      </c>
      <c r="C20" s="77" t="n">
        <f aca="false">'Begroting per activiteit'!C81</f>
        <v>0</v>
      </c>
      <c r="D20" s="77" t="n">
        <f aca="false">'Begroting per activiteit'!D81</f>
        <v>0</v>
      </c>
      <c r="E20" s="77" t="n">
        <f aca="false">'Begroting per activiteit'!E81</f>
        <v>0</v>
      </c>
      <c r="F20" s="77" t="n">
        <f aca="false">'Begroting per activiteit'!F81</f>
        <v>0</v>
      </c>
      <c r="G20" s="77" t="n">
        <f aca="false">'Begroting per activiteit'!G81</f>
        <v>0</v>
      </c>
      <c r="H20" s="77" t="n">
        <f aca="false">'Begroting per activiteit'!H81</f>
        <v>0</v>
      </c>
      <c r="I20" s="77" t="n">
        <f aca="false">'Begroting per activiteit'!I81</f>
        <v>0</v>
      </c>
      <c r="J20" s="77" t="n">
        <f aca="false">'Begroting per activiteit'!J81</f>
        <v>0</v>
      </c>
      <c r="K20" s="56" t="n">
        <f aca="false">C20+D20+E20+F20+G20+H20+I20+J20</f>
        <v>0</v>
      </c>
    </row>
    <row r="21" customFormat="false" ht="15" hidden="false" customHeight="false" outlineLevel="0" collapsed="false">
      <c r="B21" s="95" t="s">
        <v>93</v>
      </c>
      <c r="C21" s="77" t="n">
        <f aca="false">'Begroting per activiteit'!C93</f>
        <v>0</v>
      </c>
      <c r="D21" s="77" t="n">
        <f aca="false">'Begroting per activiteit'!D93</f>
        <v>0</v>
      </c>
      <c r="E21" s="77" t="n">
        <f aca="false">'Begroting per activiteit'!E93</f>
        <v>0</v>
      </c>
      <c r="F21" s="77" t="n">
        <f aca="false">'Begroting per activiteit'!F93</f>
        <v>0</v>
      </c>
      <c r="G21" s="77" t="n">
        <f aca="false">'Begroting per activiteit'!G93</f>
        <v>0</v>
      </c>
      <c r="H21" s="77" t="n">
        <f aca="false">'Begroting per activiteit'!H93</f>
        <v>0</v>
      </c>
      <c r="I21" s="77" t="n">
        <f aca="false">'Begroting per activiteit'!I93</f>
        <v>0</v>
      </c>
      <c r="J21" s="77" t="n">
        <f aca="false">'Begroting per activiteit'!J93</f>
        <v>0</v>
      </c>
      <c r="K21" s="56" t="n">
        <f aca="false">C21+D21+E21+F21+G21+H21+I21+J21</f>
        <v>0</v>
      </c>
    </row>
    <row r="22" customFormat="false" ht="15.75" hidden="false" customHeight="true" outlineLevel="0" collapsed="false">
      <c r="B22" s="96" t="s">
        <v>94</v>
      </c>
      <c r="C22" s="78" t="n">
        <f aca="false">'Begroting per activiteit'!C102</f>
        <v>1600</v>
      </c>
      <c r="D22" s="78" t="n">
        <f aca="false">'Begroting per activiteit'!D102</f>
        <v>2600</v>
      </c>
      <c r="E22" s="78" t="n">
        <f aca="false">'Begroting per activiteit'!E102</f>
        <v>1600</v>
      </c>
      <c r="F22" s="78" t="n">
        <f aca="false">'Begroting per activiteit'!F102</f>
        <v>200</v>
      </c>
      <c r="G22" s="78" t="n">
        <f aca="false">'Begroting per activiteit'!G102</f>
        <v>0</v>
      </c>
      <c r="H22" s="78" t="n">
        <f aca="false">'Begroting per activiteit'!H102</f>
        <v>0</v>
      </c>
      <c r="I22" s="78" t="n">
        <f aca="false">'Begroting per activiteit'!I102</f>
        <v>0</v>
      </c>
      <c r="J22" s="78" t="n">
        <f aca="false">'Begroting per activiteit'!J102</f>
        <v>0</v>
      </c>
      <c r="K22" s="75" t="n">
        <f aca="false">C22+D22+E22+F22+G22+H22+I22+J22</f>
        <v>6000</v>
      </c>
    </row>
    <row r="23" customFormat="false" ht="16.5" hidden="false" customHeight="true" outlineLevel="0" collapsed="false">
      <c r="B23" s="97" t="s">
        <v>95</v>
      </c>
      <c r="C23" s="98" t="n">
        <f aca="false">SUM(C18:C22)</f>
        <v>4100</v>
      </c>
      <c r="D23" s="98" t="n">
        <f aca="false">SUM(D18:D22)</f>
        <v>4200</v>
      </c>
      <c r="E23" s="98" t="n">
        <f aca="false">SUM(E18:E22)</f>
        <v>2350</v>
      </c>
      <c r="F23" s="98" t="n">
        <f aca="false">SUM(F18:F22)</f>
        <v>350</v>
      </c>
      <c r="G23" s="98" t="n">
        <f aca="false">SUM(G18:G22)</f>
        <v>0</v>
      </c>
      <c r="H23" s="98" t="n">
        <f aca="false">SUM(H18:H22)</f>
        <v>0</v>
      </c>
      <c r="I23" s="98" t="n">
        <f aca="false">SUM(I18:I22)</f>
        <v>0</v>
      </c>
      <c r="J23" s="98" t="n">
        <f aca="false">SUM(J18:J22)</f>
        <v>0</v>
      </c>
      <c r="K23" s="101" t="n">
        <f aca="false">C23+D23+E23+F23+G23+H23+I23+J23</f>
        <v>11000</v>
      </c>
    </row>
    <row r="24" customFormat="false" ht="15.75" hidden="false" customHeight="true" outlineLevel="0" collapsed="false"/>
    <row r="25" customFormat="false" ht="56.25" hidden="false" customHeight="true" outlineLevel="0" collapsed="false">
      <c r="B25" s="102" t="s">
        <v>103</v>
      </c>
      <c r="C25" s="103" t="n">
        <f aca="false">C15-C23</f>
        <v>0</v>
      </c>
      <c r="D25" s="103" t="n">
        <f aca="false">D15-D23</f>
        <v>0</v>
      </c>
      <c r="E25" s="103" t="n">
        <f aca="false">E15-E23</f>
        <v>0</v>
      </c>
      <c r="F25" s="103" t="n">
        <f aca="false">F15-F23</f>
        <v>0</v>
      </c>
      <c r="G25" s="103" t="n">
        <f aca="false">G15-G23</f>
        <v>0</v>
      </c>
      <c r="H25" s="103" t="n">
        <f aca="false">H15-H23</f>
        <v>0</v>
      </c>
      <c r="I25" s="103" t="n">
        <f aca="false">I15-I23</f>
        <v>0</v>
      </c>
      <c r="J25" s="103" t="n">
        <f aca="false">J15-J23</f>
        <v>0</v>
      </c>
      <c r="K25" s="103" t="n">
        <f aca="false">K15-K23</f>
        <v>0</v>
      </c>
    </row>
    <row r="26" customFormat="false" ht="15" hidden="false" customHeight="true" outlineLevel="0" collapsed="false">
      <c r="B26" s="104" t="s">
        <v>104</v>
      </c>
      <c r="C26" s="104"/>
      <c r="D26" s="104"/>
      <c r="E26" s="104"/>
      <c r="F26" s="104"/>
      <c r="G26" s="104"/>
      <c r="H26" s="104"/>
      <c r="I26" s="104"/>
      <c r="J26" s="104"/>
      <c r="K26" s="104"/>
    </row>
    <row r="28" customFormat="false" ht="15.75" hidden="false" customHeight="true" outlineLevel="0" collapsed="false">
      <c r="B28" s="25" t="s">
        <v>105</v>
      </c>
    </row>
    <row r="29" customFormat="false" ht="45" hidden="false" customHeight="true" outlineLevel="0" collapsed="false">
      <c r="B29" s="105" t="s">
        <v>26</v>
      </c>
      <c r="C29" s="106" t="s">
        <v>106</v>
      </c>
      <c r="D29" s="106"/>
      <c r="E29" s="106"/>
      <c r="F29" s="107" t="s">
        <v>55</v>
      </c>
      <c r="G29" s="107" t="s">
        <v>107</v>
      </c>
      <c r="H29" s="108" t="s">
        <v>108</v>
      </c>
    </row>
    <row r="30" s="109" customFormat="true" ht="15" hidden="false" customHeight="true" outlineLevel="0" collapsed="false">
      <c r="B30" s="110" t="s">
        <v>42</v>
      </c>
      <c r="C30" s="111" t="str">
        <f aca="false">'Begroting per activiteit'!C10</f>
        <v>Werving, campagne en intake van deelnemers</v>
      </c>
      <c r="D30" s="111"/>
      <c r="E30" s="111"/>
      <c r="F30" s="112" t="str">
        <f aca="false">'Begroting per activiteit'!C11</f>
        <v>eenmalige wervingsronde, okt-dec 2026</v>
      </c>
      <c r="G30" s="113" t="n">
        <f aca="false">'Begroting per activiteit'!C12</f>
        <v>10</v>
      </c>
      <c r="H30" s="114" t="n">
        <f aca="false">C18</f>
        <v>2500</v>
      </c>
    </row>
    <row r="31" customFormat="false" ht="15" hidden="false" customHeight="true" outlineLevel="0" collapsed="false">
      <c r="B31" s="110" t="s">
        <v>43</v>
      </c>
      <c r="C31" s="115" t="str">
        <f aca="false">'Begroting per activiteit'!D10</f>
        <v>Leenfietsen beschikbaar stellen, afstellen en onderhouden</v>
      </c>
      <c r="D31" s="115"/>
      <c r="E31" s="115"/>
      <c r="F31" s="116" t="str">
        <f aca="false">'Begroting per activiteit'!D11</f>
        <v>doorlopend, dec 2026 - jun 2027</v>
      </c>
      <c r="G31" s="117" t="n">
        <f aca="false">'Begroting per activiteit'!D12</f>
        <v>10</v>
      </c>
      <c r="H31" s="114" t="n">
        <f aca="false">D18</f>
        <v>1600</v>
      </c>
    </row>
    <row r="32" customFormat="false" ht="15" hidden="false" customHeight="true" outlineLevel="0" collapsed="false">
      <c r="B32" s="110" t="s">
        <v>44</v>
      </c>
      <c r="C32" s="115" t="str">
        <f aca="false">'Begroting per activiteit'!E10</f>
        <v>Begeleide fietsgroep: kennismakingsritten en vaste fietsmomenten</v>
      </c>
      <c r="D32" s="115"/>
      <c r="E32" s="115"/>
      <c r="F32" s="116" t="str">
        <f aca="false">'Begroting per activiteit'!E11</f>
        <v>circa 20 ritten, jan-jun 2027</v>
      </c>
      <c r="G32" s="117" t="n">
        <f aca="false">'Begroting per activiteit'!E12</f>
        <v>10</v>
      </c>
      <c r="H32" s="114" t="n">
        <f aca="false">E18</f>
        <v>750</v>
      </c>
    </row>
    <row r="33" customFormat="false" ht="15" hidden="false" customHeight="true" outlineLevel="0" collapsed="false">
      <c r="B33" s="110" t="s">
        <v>45</v>
      </c>
      <c r="C33" s="115" t="str">
        <f aca="false">'Begroting per activiteit'!F10</f>
        <v>Doorstroom naar zelfstandig fietsen, monitoring en eindrapportage</v>
      </c>
      <c r="D33" s="115"/>
      <c r="E33" s="115"/>
      <c r="F33" s="116" t="str">
        <f aca="false">'Begroting per activiteit'!F11</f>
        <v>afrondende ronde, jun 2027</v>
      </c>
      <c r="G33" s="117" t="n">
        <f aca="false">'Begroting per activiteit'!F12</f>
        <v>10</v>
      </c>
      <c r="H33" s="114" t="n">
        <f aca="false">F18</f>
        <v>150</v>
      </c>
    </row>
    <row r="34" customFormat="false" ht="15" hidden="false" customHeight="true" outlineLevel="0" collapsed="false">
      <c r="B34" s="110" t="s">
        <v>46</v>
      </c>
      <c r="C34" s="115" t="n">
        <f aca="false">'Begroting per activiteit'!G10</f>
        <v>0</v>
      </c>
      <c r="D34" s="115"/>
      <c r="E34" s="115"/>
      <c r="F34" s="116" t="n">
        <f aca="false">'Begroting per activiteit'!G11</f>
        <v>0</v>
      </c>
      <c r="G34" s="117" t="n">
        <f aca="false">'Begroting per activiteit'!G12</f>
        <v>0</v>
      </c>
      <c r="H34" s="114" t="n">
        <f aca="false">G18</f>
        <v>0</v>
      </c>
    </row>
    <row r="35" customFormat="false" ht="15" hidden="false" customHeight="true" outlineLevel="0" collapsed="false">
      <c r="B35" s="110" t="s">
        <v>47</v>
      </c>
      <c r="C35" s="115" t="n">
        <f aca="false">'Begroting per activiteit'!H10</f>
        <v>0</v>
      </c>
      <c r="D35" s="115"/>
      <c r="E35" s="115"/>
      <c r="F35" s="116" t="n">
        <f aca="false">'Begroting per activiteit'!H11</f>
        <v>0</v>
      </c>
      <c r="G35" s="117" t="n">
        <f aca="false">'Begroting per activiteit'!H12</f>
        <v>0</v>
      </c>
      <c r="H35" s="114" t="n">
        <f aca="false">H18</f>
        <v>0</v>
      </c>
    </row>
    <row r="36" customFormat="false" ht="15" hidden="false" customHeight="true" outlineLevel="0" collapsed="false">
      <c r="B36" s="110" t="s">
        <v>48</v>
      </c>
      <c r="C36" s="115" t="n">
        <f aca="false">'Begroting per activiteit'!I10</f>
        <v>0</v>
      </c>
      <c r="D36" s="115"/>
      <c r="E36" s="115"/>
      <c r="F36" s="116" t="n">
        <f aca="false">'Begroting per activiteit'!I11</f>
        <v>0</v>
      </c>
      <c r="G36" s="117" t="n">
        <f aca="false">'Begroting per activiteit'!I12</f>
        <v>0</v>
      </c>
      <c r="H36" s="114" t="n">
        <f aca="false">I18</f>
        <v>0</v>
      </c>
    </row>
    <row r="37" customFormat="false" ht="15" hidden="false" customHeight="true" outlineLevel="0" collapsed="false">
      <c r="B37" s="110" t="s">
        <v>49</v>
      </c>
      <c r="C37" s="115" t="n">
        <f aca="false">'Begroting per activiteit'!J10</f>
        <v>0</v>
      </c>
      <c r="D37" s="115"/>
      <c r="E37" s="115"/>
      <c r="F37" s="116" t="n">
        <f aca="false">'Begroting per activiteit'!J11</f>
        <v>0</v>
      </c>
      <c r="G37" s="117" t="n">
        <f aca="false">'Begroting per activiteit'!J12</f>
        <v>0</v>
      </c>
      <c r="H37" s="75" t="n">
        <f aca="false">J18</f>
        <v>0</v>
      </c>
    </row>
    <row r="38" customFormat="false" ht="16.5" hidden="false" customHeight="true" outlineLevel="0" collapsed="false">
      <c r="B38" s="118"/>
      <c r="C38" s="119" t="s">
        <v>67</v>
      </c>
      <c r="D38" s="120"/>
      <c r="E38" s="120"/>
      <c r="F38" s="120"/>
      <c r="G38" s="120"/>
      <c r="H38" s="99" t="n">
        <f aca="false">SUM(H30:H37)</f>
        <v>5000</v>
      </c>
    </row>
  </sheetData>
  <sheetProtection algorithmName="SHA-512" hashValue="nBZ6PEBGYB96OKa6V255EzMOJazsX7wDGayYOwVVWvNyLD0i5BDa/hHanOdxkQSaFE/ZtFINAhDtxwkdz2uOmg==" saltValue="/TuFiqprUtlQQkRp6VPmMw==" spinCount="100000" sheet="true" objects="true" scenarios="true"/>
  <mergeCells count="14">
    <mergeCell ref="B1:K2"/>
    <mergeCell ref="B3:K3"/>
    <mergeCell ref="C5:K5"/>
    <mergeCell ref="C6:K6"/>
    <mergeCell ref="B26:K26"/>
    <mergeCell ref="C29:E29"/>
    <mergeCell ref="C30:E30"/>
    <mergeCell ref="C31:E31"/>
    <mergeCell ref="C32:E32"/>
    <mergeCell ref="C33:E33"/>
    <mergeCell ref="C34:E34"/>
    <mergeCell ref="C35:E35"/>
    <mergeCell ref="C36:E36"/>
    <mergeCell ref="C37:E37"/>
  </mergeCells>
  <conditionalFormatting sqref="C25:K25">
    <cfRule type="cellIs" priority="2" operator="between" aboveAverage="0" equalAverage="0" bottom="0" percent="0" rank="0" text="" dxfId="0">
      <formula>-0.99</formula>
      <formula>0.99</formula>
    </cfRule>
    <cfRule type="cellIs" priority="3" operator="equal" aboveAverage="0" equalAverage="0" bottom="0" percent="0" rank="0" text="" dxfId="1">
      <formula>0</formula>
    </cfRule>
    <cfRule type="cellIs" priority="4" operator="notEqual" aboveAverage="0" equalAverage="0" bottom="0" percent="0" rank="0" text="" dxfId="2">
      <formula>0</formula>
    </cfRule>
    <cfRule type="cellIs" priority="5" operator="notEqual" aboveAverage="0" equalAverage="0" bottom="0" percent="0" rank="0" text="" dxfId="3">
      <formula>0</formula>
    </cfRule>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LibreOffice/26.2.2.2$Linux_AARCH64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2026-08-20T13:47:30Z</dcterms:created>
  <dc:creator>openpyxl</dc:creator>
  <dc:description/>
  <dc:language>en-US</dc:language>
  <cp:lastModifiedBy/>
  <dcterms:modified xsi:type="dcterms:W3CDTF">2026-08-30T17:29:17Z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0x010100363BC3BC4A10884B933827D82BEFAD1A</vt:lpwstr>
  </property>
  <property fmtid="{D5CDD505-2E9C-101B-9397-08002B2CF9AE}" pid="3" name="MSIP_Label_b8e82da0-c53b-40a9-8306-e01f4d5ecd11_ActionId">
    <vt:lpwstr>03d0dfe6-2c7d-45a8-a901-527ef5566280</vt:lpwstr>
  </property>
  <property fmtid="{D5CDD505-2E9C-101B-9397-08002B2CF9AE}" pid="4" name="MSIP_Label_b8e82da0-c53b-40a9-8306-e01f4d5ecd11_ContentBits">
    <vt:lpwstr>0</vt:lpwstr>
  </property>
  <property fmtid="{D5CDD505-2E9C-101B-9397-08002B2CF9AE}" pid="5" name="MSIP_Label_b8e82da0-c53b-40a9-8306-e01f4d5ecd11_Enabled">
    <vt:lpwstr>true</vt:lpwstr>
  </property>
  <property fmtid="{D5CDD505-2E9C-101B-9397-08002B2CF9AE}" pid="6" name="MSIP_Label_b8e82da0-c53b-40a9-8306-e01f4d5ecd11_Method">
    <vt:lpwstr>Privileged</vt:lpwstr>
  </property>
  <property fmtid="{D5CDD505-2E9C-101B-9397-08002B2CF9AE}" pid="7" name="MSIP_Label_b8e82da0-c53b-40a9-8306-e01f4d5ecd11_Name">
    <vt:lpwstr>Breda - Openbaar</vt:lpwstr>
  </property>
  <property fmtid="{D5CDD505-2E9C-101B-9397-08002B2CF9AE}" pid="8" name="MSIP_Label_b8e82da0-c53b-40a9-8306-e01f4d5ecd11_SetDate">
    <vt:lpwstr>2026-08-20T13:48:16Z</vt:lpwstr>
  </property>
  <property fmtid="{D5CDD505-2E9C-101B-9397-08002B2CF9AE}" pid="9" name="MSIP_Label_b8e82da0-c53b-40a9-8306-e01f4d5ecd11_SiteId">
    <vt:lpwstr>92020df4-c9e7-400f-b202-37754484ef2e</vt:lpwstr>
  </property>
  <property fmtid="{D5CDD505-2E9C-101B-9397-08002B2CF9AE}" pid="10" name="MSIP_Label_b8e82da0-c53b-40a9-8306-e01f4d5ecd11_Tag">
    <vt:lpwstr>10, 0, 1, 2</vt:lpwstr>
  </property>
</Properties>
</file>